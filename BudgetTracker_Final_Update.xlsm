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pivotTables/pivotTable1.xml" ContentType="application/vnd.openxmlformats-officedocument.spreadsheetml.pivotTable+xml"/>
  <Override PartName="/xl/tables/table4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Avenido\Documents\Budget Tracker App\"/>
    </mc:Choice>
  </mc:AlternateContent>
  <xr:revisionPtr revIDLastSave="0" documentId="13_ncr:1_{1B95C18A-1C79-4297-94B5-9F68316DB96F}" xr6:coauthVersionLast="47" xr6:coauthVersionMax="47" xr10:uidLastSave="{00000000-0000-0000-0000-000000000000}"/>
  <bookViews>
    <workbookView xWindow="-120" yWindow="-120" windowWidth="34080" windowHeight="22080" activeTab="4" xr2:uid="{1A2C2E2E-9D55-4F3C-B28A-E3AB1F9D138E}"/>
  </bookViews>
  <sheets>
    <sheet name="Dropdown Expenses" sheetId="5" r:id="rId1"/>
    <sheet name="Graph" sheetId="96" r:id="rId2"/>
    <sheet name="Maya" sheetId="22" state="hidden" r:id="rId3"/>
    <sheet name="Template" sheetId="9" state="veryHidden" r:id="rId4"/>
    <sheet name="Total Amount" sheetId="3" r:id="rId5"/>
    <sheet name="Maya Expenses 2" sheetId="54" r:id="rId6"/>
    <sheet name="02-27-25" sheetId="56" state="hidden" r:id="rId7"/>
    <sheet name="03-13-25" sheetId="57" state="hidden" r:id="rId8"/>
    <sheet name="04-10-25" sheetId="58" state="hidden" r:id="rId9"/>
    <sheet name="04-24-25" sheetId="59" state="hidden" r:id="rId10"/>
    <sheet name="05-08-25" sheetId="60" state="hidden" r:id="rId11"/>
    <sheet name="05-22-25" sheetId="61" state="hidden" r:id="rId12"/>
    <sheet name="06-05-25" sheetId="62" state="hidden" r:id="rId13"/>
    <sheet name="06-19-25" sheetId="63" state="hidden" r:id="rId14"/>
    <sheet name="07-03-25" sheetId="64" state="hidden" r:id="rId15"/>
    <sheet name="07-17-25" sheetId="65" state="hidden" r:id="rId16"/>
    <sheet name="07-31-25" sheetId="66" state="hidden" r:id="rId17"/>
    <sheet name="ESPP Expenses 2" sheetId="55" state="hidden" r:id="rId18"/>
    <sheet name="08-14-25" sheetId="67" state="hidden" r:id="rId19"/>
    <sheet name="08-28-25" sheetId="68" state="hidden" r:id="rId20"/>
    <sheet name="09-11-25" sheetId="69" state="hidden" r:id="rId21"/>
    <sheet name="13thFY25" sheetId="76" state="hidden" r:id="rId22"/>
    <sheet name="09-25-25" sheetId="70" state="hidden" r:id="rId23"/>
    <sheet name="10-09-25" sheetId="72" state="hidden" r:id="rId24"/>
    <sheet name="10-23-25" sheetId="74" state="hidden" r:id="rId25"/>
    <sheet name="Corp34Q25" sheetId="80" state="hidden" r:id="rId26"/>
    <sheet name="11-06-25" sheetId="77" state="hidden" r:id="rId27"/>
    <sheet name="11-20-25" sheetId="78" state="hidden" r:id="rId28"/>
    <sheet name="12-04-25" sheetId="79" state="hidden" r:id="rId29"/>
    <sheet name="12-18-25" sheetId="81" state="hidden" r:id="rId30"/>
    <sheet name="01-01-26" sheetId="82" state="hidden" r:id="rId31"/>
    <sheet name="01-15-26" sheetId="84" state="hidden" r:id="rId32"/>
    <sheet name="01-29-26" sheetId="85" state="hidden" r:id="rId33"/>
    <sheet name="02-12-26" sheetId="86" state="hidden" r:id="rId34"/>
    <sheet name="02-26-26" sheetId="87" state="hidden" r:id="rId35"/>
    <sheet name="13.5 Month 2026" sheetId="91" state="hidden" r:id="rId36"/>
    <sheet name="03-12-26" sheetId="88" state="hidden" r:id="rId37"/>
    <sheet name="03-26-26" sheetId="89" state="hidden" r:id="rId38"/>
    <sheet name="04-09-26" sheetId="90" state="hidden" r:id="rId39"/>
    <sheet name="04-23-26" sheetId="93" state="hidden" r:id="rId40"/>
    <sheet name="Corp12Q26" sheetId="99" r:id="rId41"/>
    <sheet name="05-07-26" sheetId="94" state="hidden" r:id="rId42"/>
    <sheet name="05-21-26" sheetId="95" r:id="rId43"/>
    <sheet name="06-04-26" sheetId="98" r:id="rId44"/>
    <sheet name="06-18-26" sheetId="100" r:id="rId45"/>
    <sheet name="ESPP1" sheetId="51" state="hidden" r:id="rId46"/>
    <sheet name="13.5 Month Pay" sheetId="52" state="hidden" r:id="rId47"/>
    <sheet name="CorpBonus-6-05-25" sheetId="53" state="hidden" r:id="rId48"/>
    <sheet name="ExpenseTableData" sheetId="97" state="hidden" r:id="rId49"/>
  </sheets>
  <functionGroups builtInGroupCount="19"/>
  <definedNames>
    <definedName name="_xleta.MONTH" hidden="1" xlm="1">#NAME?</definedName>
  </definedNames>
  <calcPr calcId="191028"/>
  <pivotCaches>
    <pivotCache cacheId="0" r:id="rId5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00" l="1"/>
  <c r="G45" i="3"/>
  <c r="F45" i="3"/>
  <c r="E45" i="3"/>
  <c r="C45" i="3"/>
  <c r="D45" i="3" s="1"/>
  <c r="B44" i="3"/>
  <c r="B10" i="98"/>
  <c r="B7" i="98"/>
  <c r="B4" i="98"/>
  <c r="G11" i="3" l="1"/>
  <c r="F11" i="3"/>
  <c r="E11" i="3"/>
  <c r="C11" i="3"/>
  <c r="D11" i="3" s="1"/>
  <c r="G44" i="3"/>
  <c r="F44" i="3"/>
  <c r="E44" i="3"/>
  <c r="C44" i="3"/>
  <c r="D44" i="3" s="1"/>
  <c r="B5" i="95" l="1"/>
  <c r="G43" i="3"/>
  <c r="F43" i="3"/>
  <c r="E43" i="3"/>
  <c r="C43" i="3"/>
  <c r="D43" i="3" s="1"/>
  <c r="G42" i="3" l="1"/>
  <c r="F42" i="3"/>
  <c r="E42" i="3"/>
  <c r="C42" i="3"/>
  <c r="D42" i="3" s="1"/>
  <c r="G41" i="3" l="1"/>
  <c r="F41" i="3"/>
  <c r="E41" i="3"/>
  <c r="C41" i="3"/>
  <c r="D41" i="3" s="1"/>
  <c r="B40" i="3"/>
  <c r="G10" i="3"/>
  <c r="F10" i="3"/>
  <c r="E10" i="3"/>
  <c r="C10" i="3"/>
  <c r="D10" i="3" s="1"/>
  <c r="G40" i="3"/>
  <c r="F40" i="3"/>
  <c r="E40" i="3"/>
  <c r="C40" i="3"/>
  <c r="G39" i="3"/>
  <c r="F39" i="3"/>
  <c r="E39" i="3"/>
  <c r="C39" i="3"/>
  <c r="D39" i="3" s="1"/>
  <c r="G38" i="3"/>
  <c r="F38" i="3"/>
  <c r="E38" i="3"/>
  <c r="C38" i="3"/>
  <c r="D38" i="3" s="1"/>
  <c r="G37" i="3"/>
  <c r="F37" i="3"/>
  <c r="E37" i="3"/>
  <c r="C37" i="3"/>
  <c r="D37" i="3" s="1"/>
  <c r="G36" i="3"/>
  <c r="F36" i="3"/>
  <c r="E36" i="3"/>
  <c r="C36" i="3"/>
  <c r="D36" i="3" s="1"/>
  <c r="G35" i="3"/>
  <c r="F35" i="3"/>
  <c r="E35" i="3"/>
  <c r="C35" i="3"/>
  <c r="D35" i="3" s="1"/>
  <c r="G34" i="3"/>
  <c r="F34" i="3"/>
  <c r="E34" i="3"/>
  <c r="C34" i="3"/>
  <c r="D34" i="3" s="1"/>
  <c r="G33" i="3"/>
  <c r="F33" i="3"/>
  <c r="E33" i="3"/>
  <c r="C33" i="3"/>
  <c r="D33" i="3" s="1"/>
  <c r="G32" i="3"/>
  <c r="F32" i="3"/>
  <c r="E32" i="3"/>
  <c r="C32" i="3"/>
  <c r="D32" i="3"/>
  <c r="G9" i="3"/>
  <c r="F9" i="3"/>
  <c r="E9" i="3"/>
  <c r="C9" i="3"/>
  <c r="D9" i="3"/>
  <c r="G31" i="3"/>
  <c r="F31" i="3"/>
  <c r="E31" i="3"/>
  <c r="C31" i="3"/>
  <c r="D31" i="3" s="1"/>
  <c r="G30" i="3"/>
  <c r="F30" i="3"/>
  <c r="E30" i="3"/>
  <c r="C30" i="3"/>
  <c r="D30" i="3" s="1"/>
  <c r="G29" i="3"/>
  <c r="F29" i="3"/>
  <c r="E29" i="3"/>
  <c r="C29" i="3"/>
  <c r="D29" i="3" s="1"/>
  <c r="G8" i="3"/>
  <c r="F8" i="3"/>
  <c r="E8" i="3"/>
  <c r="C8" i="3"/>
  <c r="D8" i="3" s="1"/>
  <c r="G28" i="3"/>
  <c r="F28" i="3"/>
  <c r="E28" i="3"/>
  <c r="C28" i="3"/>
  <c r="D28" i="3" s="1"/>
  <c r="G27" i="3"/>
  <c r="F27" i="3"/>
  <c r="E27" i="3"/>
  <c r="C27" i="3"/>
  <c r="D27" i="3" s="1"/>
  <c r="G26" i="3"/>
  <c r="F26" i="3"/>
  <c r="E26" i="3"/>
  <c r="C26" i="3"/>
  <c r="D26" i="3" s="1"/>
  <c r="C7" i="3"/>
  <c r="D7" i="3" s="1"/>
  <c r="C24" i="3"/>
  <c r="D24" i="3" s="1"/>
  <c r="G25" i="3"/>
  <c r="F25" i="3"/>
  <c r="E25" i="3"/>
  <c r="C25" i="3"/>
  <c r="D25" i="3" s="1"/>
  <c r="G24" i="3"/>
  <c r="G23" i="3"/>
  <c r="F23" i="3"/>
  <c r="G22" i="3"/>
  <c r="F22" i="3"/>
  <c r="G21" i="3"/>
  <c r="F21" i="3"/>
  <c r="G20" i="3"/>
  <c r="F20" i="3"/>
  <c r="G19" i="3"/>
  <c r="F19" i="3"/>
  <c r="G18" i="3"/>
  <c r="F18" i="3"/>
  <c r="G17" i="3"/>
  <c r="F17" i="3"/>
  <c r="G16" i="3"/>
  <c r="F16" i="3"/>
  <c r="G15" i="3"/>
  <c r="F15" i="3"/>
  <c r="G14" i="3"/>
  <c r="F14" i="3"/>
  <c r="G13" i="3"/>
  <c r="F13" i="3"/>
  <c r="G12" i="3"/>
  <c r="F12" i="3"/>
  <c r="G7" i="3"/>
  <c r="F7" i="3"/>
  <c r="G6" i="3"/>
  <c r="F6" i="3"/>
  <c r="G5" i="3"/>
  <c r="G4" i="3"/>
  <c r="F4" i="3"/>
  <c r="G3" i="3"/>
  <c r="F3" i="3"/>
  <c r="G2" i="3"/>
  <c r="E24" i="3"/>
  <c r="E23" i="3"/>
  <c r="C23" i="3"/>
  <c r="D23" i="3" s="1"/>
  <c r="C22" i="3"/>
  <c r="D22" i="3" s="1"/>
  <c r="C6" i="3"/>
  <c r="D6" i="3" s="1"/>
  <c r="E22" i="3"/>
  <c r="E21" i="3"/>
  <c r="C21" i="3"/>
  <c r="D21" i="3" s="1"/>
  <c r="B6" i="64"/>
  <c r="E20" i="3"/>
  <c r="C20" i="3"/>
  <c r="D20" i="3" s="1"/>
  <c r="E19" i="3"/>
  <c r="C19" i="3"/>
  <c r="D19" i="3" s="1"/>
  <c r="E18" i="3"/>
  <c r="C18" i="3"/>
  <c r="D18" i="3" s="1"/>
  <c r="E17" i="3"/>
  <c r="C17" i="3"/>
  <c r="D17" i="3"/>
  <c r="E16" i="3"/>
  <c r="C16" i="3"/>
  <c r="D16" i="3" s="1"/>
  <c r="E15" i="3"/>
  <c r="C15" i="3"/>
  <c r="D15" i="3" s="1"/>
  <c r="E14" i="3"/>
  <c r="C14" i="3"/>
  <c r="D14" i="3" s="1"/>
  <c r="E13" i="3"/>
  <c r="C13" i="3"/>
  <c r="D13" i="3" s="1"/>
  <c r="E12" i="3"/>
  <c r="C12" i="3"/>
  <c r="D12" i="3" s="1"/>
  <c r="E7" i="3"/>
  <c r="E6" i="3"/>
  <c r="F5" i="3"/>
  <c r="E5" i="3"/>
  <c r="C5" i="3"/>
  <c r="D5" i="3" s="1"/>
  <c r="E4" i="3"/>
  <c r="C4" i="3"/>
  <c r="D4" i="3" s="1"/>
  <c r="F2" i="3"/>
  <c r="E2" i="3"/>
  <c r="E3" i="3"/>
  <c r="C3" i="3"/>
  <c r="D3" i="3" s="1"/>
  <c r="D2" i="3"/>
  <c r="C2" i="3"/>
  <c r="F24" i="3"/>
  <c r="D40" i="3" l="1"/>
  <c r="J1" i="3" s="1"/>
  <c r="J2" i="3" s="1"/>
  <c r="P1" i="3" s="1"/>
  <c r="J3" i="3" s="1"/>
  <c r="H6" i="3"/>
  <c r="J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Angelo Avenido</author>
  </authors>
  <commentList>
    <comment ref="H6" authorId="0" shapeId="0" xr:uid="{4108E3CC-1286-4912-827A-F74243B9BC8D}">
      <text>
        <r>
          <rPr>
            <sz val="11"/>
            <color theme="1"/>
            <rFont val="Aptos Narrow"/>
            <family val="2"/>
            <scheme val="minor"/>
          </rPr>
          <t>Angelo Avenido:
Maya Savings - Reserved for House Savings
**Personal Savings</t>
        </r>
      </text>
    </comment>
  </commentList>
</comments>
</file>

<file path=xl/sharedStrings.xml><?xml version="1.0" encoding="utf-8"?>
<sst xmlns="http://schemas.openxmlformats.org/spreadsheetml/2006/main" count="4779" uniqueCount="750">
  <si>
    <t>24 Chicken</t>
  </si>
  <si>
    <t>Accommodation</t>
  </si>
  <si>
    <t>Alta Vista (Breakfast)</t>
  </si>
  <si>
    <t>Badminton</t>
  </si>
  <si>
    <t>Baggage</t>
  </si>
  <si>
    <t>Bar</t>
  </si>
  <si>
    <t>Batuta Bar</t>
  </si>
  <si>
    <t>Bayad</t>
  </si>
  <si>
    <t>BDO Credit Card</t>
  </si>
  <si>
    <t>Birthday</t>
  </si>
  <si>
    <t>BPI Credit Card</t>
  </si>
  <si>
    <t>Budget</t>
  </si>
  <si>
    <t>Camiguin</t>
  </si>
  <si>
    <t>Carry Over</t>
  </si>
  <si>
    <t>Cashout</t>
  </si>
  <si>
    <t>Cats</t>
  </si>
  <si>
    <t>CDC Cafe</t>
  </si>
  <si>
    <t>Chocolate</t>
  </si>
  <si>
    <t>Chowking</t>
  </si>
  <si>
    <t>Clothes</t>
  </si>
  <si>
    <t>Coco Mama</t>
  </si>
  <si>
    <t>Correction Factor</t>
  </si>
  <si>
    <t>Date with Babi</t>
  </si>
  <si>
    <t>Dinner Date</t>
  </si>
  <si>
    <t>Dinner Out</t>
  </si>
  <si>
    <t>Disney</t>
  </si>
  <si>
    <t>Dooki</t>
  </si>
  <si>
    <t>Dunkin</t>
  </si>
  <si>
    <t>Electric Bill</t>
  </si>
  <si>
    <t>Emergency</t>
  </si>
  <si>
    <t>Figaro</t>
  </si>
  <si>
    <t>Food</t>
  </si>
  <si>
    <t>Games</t>
  </si>
  <si>
    <t>Gas</t>
  </si>
  <si>
    <t>Gcash</t>
  </si>
  <si>
    <t>General Cleaning</t>
  </si>
  <si>
    <t>Gift</t>
  </si>
  <si>
    <t>Groceries</t>
  </si>
  <si>
    <t>Haircut</t>
  </si>
  <si>
    <t>HOHO Bora</t>
  </si>
  <si>
    <t>House</t>
  </si>
  <si>
    <t>Interest</t>
  </si>
  <si>
    <t>Island Chicken Inasal</t>
  </si>
  <si>
    <t>Jasper's Tapsilog</t>
  </si>
  <si>
    <t>Jollibee</t>
  </si>
  <si>
    <t>KFC</t>
  </si>
  <si>
    <t>Kitchen City</t>
  </si>
  <si>
    <t>Klook</t>
  </si>
  <si>
    <t>Laguna Budget</t>
  </si>
  <si>
    <t>Le Andres Café</t>
  </si>
  <si>
    <t>Load</t>
  </si>
  <si>
    <t>LoR</t>
  </si>
  <si>
    <t>Lunch Out</t>
  </si>
  <si>
    <t>Mandarin Spa</t>
  </si>
  <si>
    <t>Mcdo</t>
  </si>
  <si>
    <t>Netflix</t>
  </si>
  <si>
    <t>OM Bar</t>
  </si>
  <si>
    <t>Outing</t>
  </si>
  <si>
    <t>Pag-ibig</t>
  </si>
  <si>
    <t>Payment</t>
  </si>
  <si>
    <t>Personal Care</t>
  </si>
  <si>
    <t>Phone</t>
  </si>
  <si>
    <t>Pickuop Coffee</t>
  </si>
  <si>
    <t>Plane Ticket</t>
  </si>
  <si>
    <t>Popeye's</t>
  </si>
  <si>
    <t>PS4</t>
  </si>
  <si>
    <t>PSP</t>
  </si>
  <si>
    <t>Ramen Nagi</t>
  </si>
  <si>
    <t>Received</t>
  </si>
  <si>
    <t>Refund</t>
  </si>
  <si>
    <t>Rent</t>
  </si>
  <si>
    <t>Saboria</t>
  </si>
  <si>
    <t>Savings</t>
  </si>
  <si>
    <t>SM Groceries</t>
  </si>
  <si>
    <t>Spa</t>
  </si>
  <si>
    <t>Spice Birds</t>
  </si>
  <si>
    <t>Spotify</t>
  </si>
  <si>
    <t>Staycation</t>
  </si>
  <si>
    <t>Switch 2</t>
  </si>
  <si>
    <t>Tax</t>
  </si>
  <si>
    <t>Ticket to BXU</t>
  </si>
  <si>
    <t>Ticket to MNL</t>
  </si>
  <si>
    <t>Ticket to MPH</t>
  </si>
  <si>
    <t>Tiktok Shop</t>
  </si>
  <si>
    <t>Transfer</t>
  </si>
  <si>
    <t>Transfer Fee</t>
  </si>
  <si>
    <t>Two Seasons</t>
  </si>
  <si>
    <t>Utang</t>
  </si>
  <si>
    <t>Vape</t>
  </si>
  <si>
    <t>Water Bill</t>
  </si>
  <si>
    <t>Watsons</t>
  </si>
  <si>
    <t>Wifi</t>
  </si>
  <si>
    <t>Withdraw</t>
  </si>
  <si>
    <t>Withdraw Fee</t>
  </si>
  <si>
    <t>Expenses</t>
  </si>
  <si>
    <t>Amount</t>
  </si>
  <si>
    <t>Date</t>
  </si>
  <si>
    <t>Remarks</t>
  </si>
  <si>
    <t>Date:</t>
  </si>
  <si>
    <t>-</t>
  </si>
  <si>
    <t>Mama (Decemer - Puregold)</t>
  </si>
  <si>
    <t>Arly</t>
  </si>
  <si>
    <t>Bora</t>
  </si>
  <si>
    <t>Payment (Bora)</t>
  </si>
  <si>
    <t>2/27 Savings</t>
  </si>
  <si>
    <t>3/13 Savings</t>
  </si>
  <si>
    <t>Plane Ticket (Papa)</t>
  </si>
  <si>
    <t>Payment from Arly</t>
  </si>
  <si>
    <t>ESPP + 3/27 Savings</t>
  </si>
  <si>
    <t>13.5 Month Pay Savings</t>
  </si>
  <si>
    <t>13.5 Month Pay + 4/10 Savings</t>
  </si>
  <si>
    <t>4/24 Savings</t>
  </si>
  <si>
    <t>From babi bawas sa utang</t>
  </si>
  <si>
    <t>From 5-08-25 salary</t>
  </si>
  <si>
    <t>From elyu excess spenses and salary</t>
  </si>
  <si>
    <t>From CorpBonus 2Q25</t>
  </si>
  <si>
    <t>Mama (June - After Camiguin, 21,300 total as of now)</t>
  </si>
  <si>
    <t>Papa (June - After Camiguin)</t>
  </si>
  <si>
    <t>Babi for bills payment (6k total as of now)</t>
  </si>
  <si>
    <t>Switch 2 downpayment (BDO CC straight payment)</t>
  </si>
  <si>
    <t>Switch 2 membership (750 only, 250 for transfer to savings)</t>
  </si>
  <si>
    <t>Budget From:</t>
  </si>
  <si>
    <t>Total Expenses</t>
  </si>
  <si>
    <t>After Expenses</t>
  </si>
  <si>
    <t>Total Money</t>
  </si>
  <si>
    <t>BPI Current Amount</t>
  </si>
  <si>
    <t>Should Be 0</t>
  </si>
  <si>
    <t>Maya</t>
  </si>
  <si>
    <t>Money w/o Maya&amp;Gcash</t>
  </si>
  <si>
    <t>Update current BPI Here</t>
  </si>
  <si>
    <t>ESPP1</t>
  </si>
  <si>
    <t>Money on BPI</t>
  </si>
  <si>
    <t>13.5 Month Pay</t>
  </si>
  <si>
    <t>Corporate Bonus 1Q25/2Q25</t>
  </si>
  <si>
    <t>Missing Expenses Amount</t>
  </si>
  <si>
    <t>Maya Expenses 2</t>
  </si>
  <si>
    <t>ESPP Expenses 2</t>
  </si>
  <si>
    <t>13thFY25</t>
  </si>
  <si>
    <t>Corp34Q25</t>
  </si>
  <si>
    <t>13.5 Month 2026</t>
  </si>
  <si>
    <t>Corp12Q26</t>
  </si>
  <si>
    <t>02/27/2025 Salary</t>
  </si>
  <si>
    <t>03/13/2025 Salary</t>
  </si>
  <si>
    <t>04/10/2025 Salary</t>
  </si>
  <si>
    <t>04/24/2025 Salary</t>
  </si>
  <si>
    <t>05/08/2025 Salary</t>
  </si>
  <si>
    <t>05/22/2025 Salary</t>
  </si>
  <si>
    <t>06/05/2025 Salary</t>
  </si>
  <si>
    <t>06/19/2025 Salary</t>
  </si>
  <si>
    <t>07/03/2025 Salary</t>
  </si>
  <si>
    <t>07/17/2025 Salary</t>
  </si>
  <si>
    <t>07/31/2025 Salary</t>
  </si>
  <si>
    <t>08/14/2025 Salary</t>
  </si>
  <si>
    <t>08/28/2025 Salary</t>
  </si>
  <si>
    <t>09/11/2025 Salary</t>
  </si>
  <si>
    <t>09/25/2025 Salary</t>
  </si>
  <si>
    <t>10/09/2025 Salary</t>
  </si>
  <si>
    <t>10/23/2025 Salary</t>
  </si>
  <si>
    <t>11/06/2025 Salary</t>
  </si>
  <si>
    <t>11/20/2025 Salary</t>
  </si>
  <si>
    <t>12/04/2025 Salary</t>
  </si>
  <si>
    <t>12/18/2025 Salary</t>
  </si>
  <si>
    <t>01/01/2026 Salary</t>
  </si>
  <si>
    <t>01/15/2026 Salary</t>
  </si>
  <si>
    <t>01/29/2026 Salary</t>
  </si>
  <si>
    <t>02/12/2026 Salary</t>
  </si>
  <si>
    <t>02/26/2026 Salary</t>
  </si>
  <si>
    <t>03/12/2026 Salary</t>
  </si>
  <si>
    <t>03/26/2026 Salary</t>
  </si>
  <si>
    <t>04/09/2026 Salary</t>
  </si>
  <si>
    <t>04/23/2026 Salary</t>
  </si>
  <si>
    <t>05/07/2026 Salary</t>
  </si>
  <si>
    <t>05/21/2026 Salary</t>
  </si>
  <si>
    <t>06/04/2026 Salary</t>
  </si>
  <si>
    <t>Payment from babi</t>
  </si>
  <si>
    <t xml:space="preserve">Savings from 07/03/25 Cutoff </t>
  </si>
  <si>
    <t>Reserved for House Repair</t>
  </si>
  <si>
    <t>Reserve for House Payment</t>
  </si>
  <si>
    <t>Payment from papa + mama</t>
  </si>
  <si>
    <t>Switch Payment</t>
  </si>
  <si>
    <t>Weekly Load</t>
  </si>
  <si>
    <t>Payment from babi Shoes+Phone</t>
  </si>
  <si>
    <t>Reserved for House DP</t>
  </si>
  <si>
    <t>Ate Gina House Deposit</t>
  </si>
  <si>
    <t>Payment from Papa</t>
  </si>
  <si>
    <t>Payment from Babi | 4k remaining</t>
  </si>
  <si>
    <t>Saving from 08/14/25 cutoff | utang ni babi then transferred to Maya</t>
  </si>
  <si>
    <t>SM Bats budget</t>
  </si>
  <si>
    <t>Excess from Laguna Budget</t>
  </si>
  <si>
    <t>House Payment from Mama</t>
  </si>
  <si>
    <t>Savings from 08/14/25 cutoff</t>
  </si>
  <si>
    <t>Savings from ESPP</t>
  </si>
  <si>
    <t>Payment to BDO CC | Utang</t>
  </si>
  <si>
    <t>House Repair</t>
  </si>
  <si>
    <t>House DP from 9-11-25 cutoff</t>
  </si>
  <si>
    <t>Savings from 8-28-25 cutoff</t>
  </si>
  <si>
    <t>Mama 5k, total 13k | Babi 1k, total 5k</t>
  </si>
  <si>
    <t>Payment from Mama</t>
  </si>
  <si>
    <t>Withdraw for additional budget</t>
  </si>
  <si>
    <t>Savings from 9/25/25 cutoff</t>
  </si>
  <si>
    <t>Savings from 9/11/25 cutoff</t>
  </si>
  <si>
    <t>Tagaytay Outing w/ Cousins</t>
  </si>
  <si>
    <t>Lunch Outing</t>
  </si>
  <si>
    <t>Outing Gas</t>
  </si>
  <si>
    <t>Nang Utang</t>
  </si>
  <si>
    <t>House downpayment transferred to RCBC</t>
  </si>
  <si>
    <t>Papa Utang | 5k total</t>
  </si>
  <si>
    <t>House Adjustment</t>
  </si>
  <si>
    <t>Transferred to house, was payed to BDO CC</t>
  </si>
  <si>
    <t>Nang Che Utang, Total 6k</t>
  </si>
  <si>
    <t>Payment from Nang | Settled</t>
  </si>
  <si>
    <t>Payment from Mama | 8k Remaining</t>
  </si>
  <si>
    <t>Payment form Babi | 4k remaining</t>
  </si>
  <si>
    <t>Birthday Handa</t>
  </si>
  <si>
    <t>Payment from Mama | 6k Remaining</t>
  </si>
  <si>
    <t>Payment for Switch 2</t>
  </si>
  <si>
    <t>Transferred to RCBC</t>
  </si>
  <si>
    <t>Reserve for House Payment 11-20-25 Cutoff</t>
  </si>
  <si>
    <t>Savings from 13th Month pay | Mama Payment</t>
  </si>
  <si>
    <t>Payment from Mama | 4k Remaining</t>
  </si>
  <si>
    <t>Payment to BCO CC</t>
  </si>
  <si>
    <t>Savings from 13th Month pay | Nang Che Payment</t>
  </si>
  <si>
    <t>Reserved for House Payment | Ref payment 8.9K remaining</t>
  </si>
  <si>
    <t>Utang Babi | 4.5K total</t>
  </si>
  <si>
    <t>Payment From Babi | Settled</t>
  </si>
  <si>
    <t>Savings from 11/20/25 cutoff</t>
  </si>
  <si>
    <t>Load payment</t>
  </si>
  <si>
    <t>Savings from 12/04/25 cutoff</t>
  </si>
  <si>
    <t>Utang Mama | 19k Remaining</t>
  </si>
  <si>
    <t>Payment from Mama | 17k Remaining</t>
  </si>
  <si>
    <t>Reserved for house DP | 1-1-26 cutoff</t>
  </si>
  <si>
    <t>Savings from 12/18/25 cutoff</t>
  </si>
  <si>
    <t>Savings from Corp Bonus</t>
  </si>
  <si>
    <t>Savings from 13th Month Pay</t>
  </si>
  <si>
    <t>Savings from BPI</t>
  </si>
  <si>
    <t>Payment from Mama | 14.5k Remaining</t>
  </si>
  <si>
    <t>Reserved for House Payment | 1-15-26 cutoff</t>
  </si>
  <si>
    <t>Reserved for House Payment | Ref payment 6.3K remaining</t>
  </si>
  <si>
    <t>Reserved for House Payment | 1-29-26 cutoff</t>
  </si>
  <si>
    <t>Savings from 01/15/26 Cutoff</t>
  </si>
  <si>
    <t>Savings from 1/15/26 Cutoff</t>
  </si>
  <si>
    <t>Savings from 1/29/26 Cutoff</t>
  </si>
  <si>
    <t>Reserved for House DP | 1-29-26 Cutoff</t>
  </si>
  <si>
    <t>Reserved for House Payment | Ref payment 5K remaining</t>
  </si>
  <si>
    <t>Transfered to RCBC for house payment</t>
  </si>
  <si>
    <t>Utang Mama | 42.3k  Remaining</t>
  </si>
  <si>
    <t>Payment from Mama | 40.3k Remaining</t>
  </si>
  <si>
    <t>Savings from 2/12/26 Cutoff</t>
  </si>
  <si>
    <t>Reserved for House DP | 2-26-26 Cutoff</t>
  </si>
  <si>
    <t>Payment fron Papa | Settled</t>
  </si>
  <si>
    <t>Payment fron Babi PS4 | 1.5k Remaining</t>
  </si>
  <si>
    <t>Reserved for House DP | 3-12-26 Cutoff</t>
  </si>
  <si>
    <t>Payment from Mama | 37.3k Remaining</t>
  </si>
  <si>
    <t>Utang Nang Che | 6k Remaining</t>
  </si>
  <si>
    <t>Utang Papa | 5k Remaining</t>
  </si>
  <si>
    <t>Utang Mama | 40.3k Remaining</t>
  </si>
  <si>
    <t>Savings from 3/12/26 Cutoff</t>
  </si>
  <si>
    <t>Reserved for House DP | 3-26-26 Cutoff</t>
  </si>
  <si>
    <t>Dentist tooth extraction + root canal</t>
  </si>
  <si>
    <t>Payment from Mama | 34.8k Remaining</t>
  </si>
  <si>
    <t>Payment from Mama | 33.6k Remaining</t>
  </si>
  <si>
    <t>Reserved for House Payment | Ref payment 3.7K remaining</t>
  </si>
  <si>
    <t>Reserved for House DP | 4-9-26 Cutoff</t>
  </si>
  <si>
    <t>Payment fron Babi PS4 | 1k Remaining</t>
  </si>
  <si>
    <t>Utang Mama | 36.1k Remaining</t>
  </si>
  <si>
    <t>Payment fron Babi PS4 | Settled</t>
  </si>
  <si>
    <t>Reserved for House DP | 4-23-26 Cutoff</t>
  </si>
  <si>
    <t>Reserved for House DP | 5-7-26 Cutoff</t>
  </si>
  <si>
    <t>Payment Papa | Settled</t>
  </si>
  <si>
    <t>Savings from 4/23/26 Cutoff</t>
  </si>
  <si>
    <t>Savings from 13.5 Month Pay 2026</t>
  </si>
  <si>
    <t>Reserved for House Payment | Ref payment (April) 2.4K remaining</t>
  </si>
  <si>
    <t>Reseved for House DP | 5-21-26 Cutoff</t>
  </si>
  <si>
    <t>Ebike paymnet</t>
  </si>
  <si>
    <t>Reserved for House DP | 6-04-26 Cutoff</t>
  </si>
  <si>
    <t>Utang Papa | 5K Total</t>
  </si>
  <si>
    <t>Utang Babi | 2.8k Total</t>
  </si>
  <si>
    <t>From previous salary</t>
  </si>
  <si>
    <t>Cat Food</t>
  </si>
  <si>
    <t>Babi's electric bill</t>
  </si>
  <si>
    <t>Transferred to gcash (x-ultra)</t>
  </si>
  <si>
    <t>Auto Debit</t>
  </si>
  <si>
    <t>Gcash for budget</t>
  </si>
  <si>
    <t>Weekly budget</t>
  </si>
  <si>
    <t>Weekend Budget</t>
  </si>
  <si>
    <t>Transfer to Maya</t>
  </si>
  <si>
    <t>Phone Monthly + Angels + Jabi</t>
  </si>
  <si>
    <t>Tablet Monthly + Mcdo + Fee</t>
  </si>
  <si>
    <t>BPI to Maya for CC payment</t>
  </si>
  <si>
    <t>NFS Heat PS4 Digital Copy</t>
  </si>
  <si>
    <t>SG tax PS4 transaction</t>
  </si>
  <si>
    <t>Tax covered by babi</t>
  </si>
  <si>
    <t>From Nang (for convert to RFID)</t>
  </si>
  <si>
    <t>From Babi payed to BDO</t>
  </si>
  <si>
    <t>Ate Gina Rent</t>
  </si>
  <si>
    <t>Monthly Water Bill</t>
  </si>
  <si>
    <t>Court + Shuttle 5/10/25</t>
  </si>
  <si>
    <t>To settle corr factor</t>
  </si>
  <si>
    <t>RFID elyu</t>
  </si>
  <si>
    <t>Utang Elyu Johred and Chi</t>
  </si>
  <si>
    <t>Elyu Budget</t>
  </si>
  <si>
    <t>Elyu Expenses CC</t>
  </si>
  <si>
    <t>BDO ATM charge</t>
  </si>
  <si>
    <t>Secret outing ambag</t>
  </si>
  <si>
    <t>BPI to Gcash</t>
  </si>
  <si>
    <t>Excess</t>
  </si>
  <si>
    <t>From previous Salary</t>
  </si>
  <si>
    <t>Budget for last week</t>
  </si>
  <si>
    <t>June Half rent</t>
  </si>
  <si>
    <t>May Electric Bill</t>
  </si>
  <si>
    <t>Foods + Grab</t>
  </si>
  <si>
    <t>Camiguin Buget to transfer sa Corp Bonus</t>
  </si>
  <si>
    <t>Weekly Budget</t>
  </si>
  <si>
    <t>Landbank Withdraw Fee</t>
  </si>
  <si>
    <t>Wifi Load transferred to Gcash</t>
  </si>
  <si>
    <t>BPI to Gcash transfer fee</t>
  </si>
  <si>
    <t>Bayad ni babi</t>
  </si>
  <si>
    <t>Budget until next cutoff</t>
  </si>
  <si>
    <t>Excess money</t>
  </si>
  <si>
    <t>Excess from Corp Bonus and Prev Salary</t>
  </si>
  <si>
    <t>2nd half monthly rent June</t>
  </si>
  <si>
    <t>Annual Fee + Phone + Food</t>
  </si>
  <si>
    <t>Tablet + Monthly Annual Fee</t>
  </si>
  <si>
    <t>Monthly spotify</t>
  </si>
  <si>
    <t>Cats Vaccine</t>
  </si>
  <si>
    <t>Phone load</t>
  </si>
  <si>
    <t>Transferred to Gcash</t>
  </si>
  <si>
    <t>BDO Withdraw Fee</t>
  </si>
  <si>
    <t>Monthly water bill</t>
  </si>
  <si>
    <t>Unli wings additional budget</t>
  </si>
  <si>
    <t>Transfer fee Gcash</t>
  </si>
  <si>
    <t>Additional weekly budget</t>
  </si>
  <si>
    <t>BPI withheld tax</t>
  </si>
  <si>
    <t>Interest earned BPI</t>
  </si>
  <si>
    <t>To transfer on next cutoff</t>
  </si>
  <si>
    <t>Excess from last salary</t>
  </si>
  <si>
    <t>Monthly electric bill</t>
  </si>
  <si>
    <t>Bi-monthly catfood</t>
  </si>
  <si>
    <t>Tayah's bday gift</t>
  </si>
  <si>
    <t>Kaiju + Jabi +SB +LoR +Gas</t>
  </si>
  <si>
    <t>Lip balm + Babi's shoes</t>
  </si>
  <si>
    <t>BPI to Gcash for cats and gift</t>
  </si>
  <si>
    <t>Load + Transfer Fee</t>
  </si>
  <si>
    <t>Vape pod</t>
  </si>
  <si>
    <t>Weekly Budget transfer to Gcash</t>
  </si>
  <si>
    <t>Bag + Mcdo</t>
  </si>
  <si>
    <t>Pants</t>
  </si>
  <si>
    <t>Nang Che to convert to Weekly Budget (trans to Gcash)</t>
  </si>
  <si>
    <t>Weekly Load + transfer fee</t>
  </si>
  <si>
    <t>Tagaytay Staycation</t>
  </si>
  <si>
    <t>Pasalubong</t>
  </si>
  <si>
    <t>Transferred to Maya</t>
  </si>
  <si>
    <t>Transfer fee to Maya</t>
  </si>
  <si>
    <t>Tranferred to next cutoff</t>
  </si>
  <si>
    <t>From previous Cutoff</t>
  </si>
  <si>
    <t>Payment to Babi (Food + Accom)</t>
  </si>
  <si>
    <t>Angels + Watsons + PU Coff + Jabi</t>
  </si>
  <si>
    <t>Babi's phone</t>
  </si>
  <si>
    <t>For BDO CC payment</t>
  </si>
  <si>
    <t>Chicken Fillet Curry</t>
  </si>
  <si>
    <t>Cashout Ate Khaye</t>
  </si>
  <si>
    <t>Maya transfer</t>
  </si>
  <si>
    <t>Transfer to next Cutoff</t>
  </si>
  <si>
    <t>BDO withdraw fee</t>
  </si>
  <si>
    <t>Transfer from previous cutoff</t>
  </si>
  <si>
    <t>Pokemon Home + Tablet</t>
  </si>
  <si>
    <t>Badminton last 7-29</t>
  </si>
  <si>
    <t>Food after badminton</t>
  </si>
  <si>
    <t>Weekly budget + withdraw fee</t>
  </si>
  <si>
    <t>Badminton w/ Team OG Paps</t>
  </si>
  <si>
    <t>Badminton w/ TDEs</t>
  </si>
  <si>
    <t>Monthly Spotify</t>
  </si>
  <si>
    <t>Transfer to next cutoff</t>
  </si>
  <si>
    <t>Dinner out with Ate Sel last 6/28/25 Hiromitsu</t>
  </si>
  <si>
    <t>Dinner out with Ate Sel last 7/16/25 Hiromitsu</t>
  </si>
  <si>
    <t>Reserved for House Reservation Fee</t>
  </si>
  <si>
    <t>Phone LCD Repair</t>
  </si>
  <si>
    <t>Birthday Gift Ina</t>
  </si>
  <si>
    <t>Ate Lalay Salamin</t>
  </si>
  <si>
    <t>Cayden-Tof</t>
  </si>
  <si>
    <t>House Reservation Fee Additional</t>
  </si>
  <si>
    <t>House Initial Downpayment</t>
  </si>
  <si>
    <t>Mcdo + Gas</t>
  </si>
  <si>
    <t>Tranfer fee to Maya</t>
  </si>
  <si>
    <t>Reserved for house downpayment | Transferred to RCBC</t>
  </si>
  <si>
    <t>Charge from RCBC ATM</t>
  </si>
  <si>
    <t>Checkbook payment</t>
  </si>
  <si>
    <t>Night out (inom)</t>
  </si>
  <si>
    <t>Joyride payment after inom</t>
  </si>
  <si>
    <t>Transferred to gcash for joyride payment</t>
  </si>
  <si>
    <t>House 1st Downpayment</t>
  </si>
  <si>
    <t>BPI to UB</t>
  </si>
  <si>
    <t>Nang Che + Transfer fee BPI to Gcash</t>
  </si>
  <si>
    <t>Nang Che payment</t>
  </si>
  <si>
    <t>Transferred to Maya for savings</t>
  </si>
  <si>
    <t>Transferred to 9-11-25 cutoff</t>
  </si>
  <si>
    <t>From last cutoff</t>
  </si>
  <si>
    <t>Mayonnaise + Chowking + Sabon</t>
  </si>
  <si>
    <t>Transfer to Maya for CC payment</t>
  </si>
  <si>
    <t>Chicken order</t>
  </si>
  <si>
    <t>Chikoks + March May Café LO</t>
  </si>
  <si>
    <t>Tranferred to Maya</t>
  </si>
  <si>
    <t>Transfer fee Maya</t>
  </si>
  <si>
    <t>Withdraw fee from BDO</t>
  </si>
  <si>
    <t>Savings Transfer to Maya</t>
  </si>
  <si>
    <t>Transfer from last cutoff</t>
  </si>
  <si>
    <t>Reserve for house downpayment</t>
  </si>
  <si>
    <t>Tablet + Annual Fee</t>
  </si>
  <si>
    <t>Gas + Mcdo</t>
  </si>
  <si>
    <t>BPI to Maya</t>
  </si>
  <si>
    <t>Monthly Savings</t>
  </si>
  <si>
    <t>Tranfer to next cutoff</t>
  </si>
  <si>
    <t>Anniversary flowers</t>
  </si>
  <si>
    <t>Mercury + Ffood +Eshop + SnR</t>
  </si>
  <si>
    <t>Reserved for house downpayment</t>
  </si>
  <si>
    <t>Nang Che utang</t>
  </si>
  <si>
    <t>SnR Membership</t>
  </si>
  <si>
    <t>Transferred from previous cutoff</t>
  </si>
  <si>
    <t>Transferred from ESPP2</t>
  </si>
  <si>
    <t>Charger Cord + Phone holder</t>
  </si>
  <si>
    <t>House Grocery</t>
  </si>
  <si>
    <t>Lunch Out Le Andres</t>
  </si>
  <si>
    <t>Babi Load</t>
  </si>
  <si>
    <t>Bayad utang ni Nang</t>
  </si>
  <si>
    <t>THE F2 Outing</t>
  </si>
  <si>
    <t>Utang Mama | 6k Total</t>
  </si>
  <si>
    <t>Utang Nang | 1.5k Total</t>
  </si>
  <si>
    <t>Swith 2 Controller</t>
  </si>
  <si>
    <t>Utang Nang | 4.5k Total</t>
  </si>
  <si>
    <t>Utang Mama | Fully Paid</t>
  </si>
  <si>
    <t>Transfer to Maya Savings</t>
  </si>
  <si>
    <t>Payment to Tayah | Halloween party palma</t>
  </si>
  <si>
    <t>Alak</t>
  </si>
  <si>
    <t>Utang Nang | Fully Paid</t>
  </si>
  <si>
    <t>Utang Nang Che | 3K total</t>
  </si>
  <si>
    <t>Payment from Nang Che | Settled</t>
  </si>
  <si>
    <t>Utang Nang Che | 3500 total</t>
  </si>
  <si>
    <t>Gift Santa Rosa</t>
  </si>
  <si>
    <t>Gift Bata sa Plaza</t>
  </si>
  <si>
    <t>Utang Nang Che | 2K total</t>
  </si>
  <si>
    <t>PS4 Repair</t>
  </si>
  <si>
    <t>Carry over to Cutoff</t>
  </si>
  <si>
    <t>Savings | Will be sent from babi to Maya</t>
  </si>
  <si>
    <t>Transferred from last cutoff</t>
  </si>
  <si>
    <t>Tablet + foods</t>
  </si>
  <si>
    <t>Tax Withheld</t>
  </si>
  <si>
    <t>Interest Earned</t>
  </si>
  <si>
    <t>Cats budget</t>
  </si>
  <si>
    <t>Transfer fee BPI to Gcash</t>
  </si>
  <si>
    <t>Transferred to next cutoff</t>
  </si>
  <si>
    <t>Transferred from next cutoff</t>
  </si>
  <si>
    <t>Reserved for house DP</t>
  </si>
  <si>
    <t>BDO CC Outing+Fast Food+Mercury</t>
  </si>
  <si>
    <t>Transfer to Gcash</t>
  </si>
  <si>
    <t>Transfer fee to Gcash</t>
  </si>
  <si>
    <t>Transfer from BPI to Maya</t>
  </si>
  <si>
    <t>Chocolate Ate Wheng</t>
  </si>
  <si>
    <t>Nang Che Utang | 2.5k total 1.5k budget 1k for CC payment</t>
  </si>
  <si>
    <t>Cashout for weekly budget</t>
  </si>
  <si>
    <t>Nang Che Utang | 4k total 3k budget 1k for CC payment</t>
  </si>
  <si>
    <t>Carry to next cutoff</t>
  </si>
  <si>
    <t>Carry over from last cutoff</t>
  </si>
  <si>
    <t>Reserved for house payment</t>
  </si>
  <si>
    <t>Pokemon ZA + SnR + Puregold</t>
  </si>
  <si>
    <t>Man Pomade</t>
  </si>
  <si>
    <t>BPI to Maya Fee</t>
  </si>
  <si>
    <t>Babi's Phone</t>
  </si>
  <si>
    <t>Netflix Monthly Sub</t>
  </si>
  <si>
    <t>Weekly budget transfer to gcash</t>
  </si>
  <si>
    <t>Dinner Date @Dooki</t>
  </si>
  <si>
    <t>Monthly expenses cats</t>
  </si>
  <si>
    <t>Gift to DDAP, Ma'am Cleo, Ma'am Queenie</t>
  </si>
  <si>
    <t>Payment to Tayah | Raffle</t>
  </si>
  <si>
    <t>Glasses Frame gift to babi</t>
  </si>
  <si>
    <t>Cha Time</t>
  </si>
  <si>
    <t>Gift to Rework team</t>
  </si>
  <si>
    <t>Gift to Ina Ade and Ate Lalay</t>
  </si>
  <si>
    <t>Gift Ina</t>
  </si>
  <si>
    <t>Gift to Tayah/Tito Jr</t>
  </si>
  <si>
    <t>Withdraw forAira</t>
  </si>
  <si>
    <t>Gift to Bespen</t>
  </si>
  <si>
    <t>Payment from Aira</t>
  </si>
  <si>
    <t>Savings transfer to Maya</t>
  </si>
  <si>
    <t>Carry over to cutoff</t>
  </si>
  <si>
    <t>Reserve for House DP</t>
  </si>
  <si>
    <t>Disney + TSG + Mcdo</t>
  </si>
  <si>
    <t>Puregold Grocery (CC Paymnet)</t>
  </si>
  <si>
    <t>BDO ATM transfer fee</t>
  </si>
  <si>
    <t>Spotify Monthly</t>
  </si>
  <si>
    <t>Siomai Sir Jas</t>
  </si>
  <si>
    <t>Ate Wheng Chocolate</t>
  </si>
  <si>
    <t>Badminton Thursday</t>
  </si>
  <si>
    <t>Reserve for house payment</t>
  </si>
  <si>
    <t>Hiromiitsu + Tablet + Mcdo</t>
  </si>
  <si>
    <t>Babi's phone + Netflix + Watsons</t>
  </si>
  <si>
    <t>Switch 2 monthly additional</t>
  </si>
  <si>
    <t>Maya Trasfer Fee</t>
  </si>
  <si>
    <t>Utang kay Babi | Macapuno + Case Tablet</t>
  </si>
  <si>
    <t xml:space="preserve">Savings </t>
  </si>
  <si>
    <t>Carry over to next cutoff</t>
  </si>
  <si>
    <t>Carry over from previous cutoff</t>
  </si>
  <si>
    <t>Previous IVOS</t>
  </si>
  <si>
    <t>Sir Jas Siomai</t>
  </si>
  <si>
    <t>ZA + Mcdo + Jabi + SnR</t>
  </si>
  <si>
    <t>Reserved for House Downpayment</t>
  </si>
  <si>
    <t>BPI to Maya transfer fee</t>
  </si>
  <si>
    <t>Ate Hazel Cashout</t>
  </si>
  <si>
    <t>budget</t>
  </si>
  <si>
    <t>Crinkles from Ricci</t>
  </si>
  <si>
    <t>Grocery + KFC + Glasses + Mcdo + Switch Games</t>
  </si>
  <si>
    <t>Medyas</t>
  </si>
  <si>
    <t>Monthly Netflix</t>
  </si>
  <si>
    <t>BPI to Maya Transfer Fee</t>
  </si>
  <si>
    <t>Payment to Abi | Lunchout Coffee</t>
  </si>
  <si>
    <t>Vape Juice</t>
  </si>
  <si>
    <t>Johred Graham de Leche</t>
  </si>
  <si>
    <t>Payment to Babi</t>
  </si>
  <si>
    <t>Outing with Babi Downpayment</t>
  </si>
  <si>
    <t>Carry over</t>
  </si>
  <si>
    <t>Reserved from last cutoff</t>
  </si>
  <si>
    <t>Laguna SnR</t>
  </si>
  <si>
    <t>Transfer fee</t>
  </si>
  <si>
    <t>Transfer fee BPI to Maya</t>
  </si>
  <si>
    <t>Tax from BPI</t>
  </si>
  <si>
    <t>Vape refill</t>
  </si>
  <si>
    <t>Zelda Payment</t>
  </si>
  <si>
    <t>Weekly budget + Laguna budget</t>
  </si>
  <si>
    <t>Monthly Wifi</t>
  </si>
  <si>
    <t>Laguna Gala</t>
  </si>
  <si>
    <t>Carry over from 13th month and corp</t>
  </si>
  <si>
    <t>Laguna Budget + Grocery + Fastfoods</t>
  </si>
  <si>
    <t>Suklay + Mcdo + Jollibee + Netflix</t>
  </si>
  <si>
    <t>Tagaytay Outing With Babi</t>
  </si>
  <si>
    <t>Jollibee after badminton</t>
  </si>
  <si>
    <t>Tuesday badminton</t>
  </si>
  <si>
    <t>Thursday badminton</t>
  </si>
  <si>
    <t>Utang Nang Che | 1k Total</t>
  </si>
  <si>
    <t>Utang Nang Che | Settled</t>
  </si>
  <si>
    <t>Meryenda with Pars</t>
  </si>
  <si>
    <t>Coffee treat for 6957-2 Mary Grace</t>
  </si>
  <si>
    <t>Flowers for babi</t>
  </si>
  <si>
    <t>THE Secret Outing</t>
  </si>
  <si>
    <t>Load to smart</t>
  </si>
  <si>
    <t>Load to Wifi</t>
  </si>
  <si>
    <t>Utang Nang Che</t>
  </si>
  <si>
    <t>Alak outing ambag</t>
  </si>
  <si>
    <t>Payment from Nang Che</t>
  </si>
  <si>
    <t>Transfer to Maya savings</t>
  </si>
  <si>
    <t>Puregold | Inasal | Jollibee</t>
  </si>
  <si>
    <t>Membership fee</t>
  </si>
  <si>
    <t>Load Payment</t>
  </si>
  <si>
    <t>Carry over to last cutoff</t>
  </si>
  <si>
    <t>Groceries + Jollibee + Mcdo</t>
  </si>
  <si>
    <t xml:space="preserve">Transfer for house DP </t>
  </si>
  <si>
    <t>Jollibee with babi</t>
  </si>
  <si>
    <t>Budget for Pipay</t>
  </si>
  <si>
    <t>Tranfer fee for Gcash and Maya</t>
  </si>
  <si>
    <t>Payment from Ate Khaye | Crosini</t>
  </si>
  <si>
    <t>Payment Marcses</t>
  </si>
  <si>
    <t>Payment From Nang Che | Settled</t>
  </si>
  <si>
    <t>Transfer to Savings</t>
  </si>
  <si>
    <t>Transfer to Next Cutoff</t>
  </si>
  <si>
    <t>Hard Drive</t>
  </si>
  <si>
    <t>Paid to BPI CC</t>
  </si>
  <si>
    <t>Badminton Thursday + Tshirt</t>
  </si>
  <si>
    <t>Payment to Edsel Miss Piggy's</t>
  </si>
  <si>
    <t>Payment to Noel Chowking</t>
  </si>
  <si>
    <t>Kuya Ampe Chili Oil</t>
  </si>
  <si>
    <t>Vape SM</t>
  </si>
  <si>
    <t>Transfer for Extra Budget</t>
  </si>
  <si>
    <t>Babi Birthday Flowers</t>
  </si>
  <si>
    <t>Disney+ sub 1 year</t>
  </si>
  <si>
    <t>Outing with Babi + ORT</t>
  </si>
  <si>
    <t>Jabi Laguna</t>
  </si>
  <si>
    <t>3 Switch games</t>
  </si>
  <si>
    <t>Transfer from 4-23-26</t>
  </si>
  <si>
    <t>Badminton Grip</t>
  </si>
  <si>
    <t>Carry Over to 5-7-26 Cutoff</t>
  </si>
  <si>
    <t>Carry Over from last cutoff</t>
  </si>
  <si>
    <t>Naruto + Pokemon FR (BDO CC)</t>
  </si>
  <si>
    <t>Puregold + Netflix</t>
  </si>
  <si>
    <t>Babi vaccine</t>
  </si>
  <si>
    <t>Marcses  + LO</t>
  </si>
  <si>
    <t>Kuya Cos badminton payment</t>
  </si>
  <si>
    <t>Noel SnR payment</t>
  </si>
  <si>
    <t>Ate Nica Payment food deliver</t>
  </si>
  <si>
    <t>Transfer from last Cutoff</t>
  </si>
  <si>
    <t>Harddrive</t>
  </si>
  <si>
    <t>Puregold + SnR</t>
  </si>
  <si>
    <t>Ate Wheng chocolate</t>
  </si>
  <si>
    <t>Jollibee takeout</t>
  </si>
  <si>
    <t>March 30 outing payment + transfer fee</t>
  </si>
  <si>
    <t>Ricci Coconut Macaroons</t>
  </si>
  <si>
    <t>Marcses payment</t>
  </si>
  <si>
    <t>Outing additional gastos</t>
  </si>
  <si>
    <t>BPI Tax</t>
  </si>
  <si>
    <t>BPI Interest</t>
  </si>
  <si>
    <t>Dentist</t>
  </si>
  <si>
    <t>Carry Over to next Cutoff</t>
  </si>
  <si>
    <t>Reserved for House Down payment</t>
  </si>
  <si>
    <t>Pokopia + SnR Lunch + SnR Grocery + Netflix + Mcdo</t>
  </si>
  <si>
    <t>Mcdo + Puregold Grocery</t>
  </si>
  <si>
    <t>Ricci Red Velvet</t>
  </si>
  <si>
    <t>Marcses food</t>
  </si>
  <si>
    <t>Kuya Ampe</t>
  </si>
  <si>
    <t>Extra budget from 13.5 Month Pay</t>
  </si>
  <si>
    <t>Weekly Budget + Payment to Tayah Payment</t>
  </si>
  <si>
    <t>Tayah Cellphone</t>
  </si>
  <si>
    <t>Birthday Date with Babi</t>
  </si>
  <si>
    <t>Puregold | SnR | Mcdo</t>
  </si>
  <si>
    <t>Gift to Babi</t>
  </si>
  <si>
    <t>Payment to Tayah</t>
  </si>
  <si>
    <t>BPI to Gotyme transfer fee</t>
  </si>
  <si>
    <t>Thursday badminton 4-23-26</t>
  </si>
  <si>
    <t>BPI to RCBC transfer fee</t>
  </si>
  <si>
    <t>Transfer to 13.5 Month</t>
  </si>
  <si>
    <t>Carry Over to Next Cutoff</t>
  </si>
  <si>
    <t>Army Navy Date</t>
  </si>
  <si>
    <t>Gas to Sto Tomas</t>
  </si>
  <si>
    <t>Plane ticket to somewhere</t>
  </si>
  <si>
    <t>Gift to FH &amp; DDAP</t>
  </si>
  <si>
    <t>Jhondhell</t>
  </si>
  <si>
    <t>BPI TO Gcash</t>
  </si>
  <si>
    <t>Carry Over from last Cutoff</t>
  </si>
  <si>
    <t>Carry Over from 13.5 Month Pay</t>
  </si>
  <si>
    <t>Badminton for a cause 5-14-26</t>
  </si>
  <si>
    <t>Reserved for House Payment</t>
  </si>
  <si>
    <t>Jollibee | Gas | Gift to Yela</t>
  </si>
  <si>
    <t>Puregold</t>
  </si>
  <si>
    <t>BPI to Maya Transfer fee</t>
  </si>
  <si>
    <t>Carry over to next Cutoff</t>
  </si>
  <si>
    <t>Carry Over from Last Cutoff</t>
  </si>
  <si>
    <t>Ulam Ina + Mang Jun</t>
  </si>
  <si>
    <t>Grocery + Gas + Mcdo</t>
  </si>
  <si>
    <t>Cellphone</t>
  </si>
  <si>
    <t>BPI to Maya transfer Fee</t>
  </si>
  <si>
    <t>Greenwich deliver</t>
  </si>
  <si>
    <t>Marcses Store</t>
  </si>
  <si>
    <t>Mcdo + Watsons + Coco + Ramen + Groceries</t>
  </si>
  <si>
    <t>Payment to Tayah CC</t>
  </si>
  <si>
    <t>Marcses Foods</t>
  </si>
  <si>
    <t>Mothly spotify</t>
  </si>
  <si>
    <t>4/14/2025</t>
  </si>
  <si>
    <t>4/15/2025</t>
  </si>
  <si>
    <t>4/24/2025</t>
  </si>
  <si>
    <t>Payment Camiguin 2D1N</t>
  </si>
  <si>
    <t>Gift Mayela</t>
  </si>
  <si>
    <t>Utang ni Babi</t>
  </si>
  <si>
    <t>Wifi load tranferred to Gcash</t>
  </si>
  <si>
    <t>Bayad ni Babi</t>
  </si>
  <si>
    <t>Tranfered to Maya for savings</t>
  </si>
  <si>
    <t>SheetName</t>
  </si>
  <si>
    <t>SortKey</t>
  </si>
  <si>
    <t>SortedName</t>
  </si>
  <si>
    <t>02/27/25</t>
  </si>
  <si>
    <t>25/02/27</t>
  </si>
  <si>
    <t>Row Labels</t>
  </si>
  <si>
    <t>Sum of Amount</t>
  </si>
  <si>
    <t>25/03/13</t>
  </si>
  <si>
    <t>25/04/10</t>
  </si>
  <si>
    <t>25/04/24</t>
  </si>
  <si>
    <t>25/05/08</t>
  </si>
  <si>
    <t>25/06/05</t>
  </si>
  <si>
    <t>25/06/19</t>
  </si>
  <si>
    <t>25/07/03</t>
  </si>
  <si>
    <t>25/07/17</t>
  </si>
  <si>
    <t>25/07/31</t>
  </si>
  <si>
    <t>25/08/14</t>
  </si>
  <si>
    <t>25/08/28</t>
  </si>
  <si>
    <t>25/09/11</t>
  </si>
  <si>
    <t>25/09/25</t>
  </si>
  <si>
    <t>25/11/06</t>
  </si>
  <si>
    <t>25/11/20</t>
  </si>
  <si>
    <t>25/12/04</t>
  </si>
  <si>
    <t>25/12/18</t>
  </si>
  <si>
    <t>26/01/01</t>
  </si>
  <si>
    <t>03/13/25</t>
  </si>
  <si>
    <t>26/01/15</t>
  </si>
  <si>
    <t>26/01/29</t>
  </si>
  <si>
    <t>26/02/12</t>
  </si>
  <si>
    <t>26/02/26</t>
  </si>
  <si>
    <t>26/03/12</t>
  </si>
  <si>
    <t>26/03/26</t>
  </si>
  <si>
    <t>26/04/09</t>
  </si>
  <si>
    <t>26/04/23</t>
  </si>
  <si>
    <t>26/05/07</t>
  </si>
  <si>
    <t>26/05/21</t>
  </si>
  <si>
    <t>99 - ESPP Expenses 2</t>
  </si>
  <si>
    <t>Grand Total</t>
  </si>
  <si>
    <t>04/10/25</t>
  </si>
  <si>
    <t>04/24/25</t>
  </si>
  <si>
    <t>05/08/25</t>
  </si>
  <si>
    <t>05/22/25</t>
  </si>
  <si>
    <t>25/05/22</t>
  </si>
  <si>
    <t>06/05/25</t>
  </si>
  <si>
    <t>06/19/25</t>
  </si>
  <si>
    <t>07/03/25</t>
  </si>
  <si>
    <t>07/17/25</t>
  </si>
  <si>
    <t>07/31/25</t>
  </si>
  <si>
    <t>08/14/25</t>
  </si>
  <si>
    <t>08/28/25</t>
  </si>
  <si>
    <t>09/11/25</t>
  </si>
  <si>
    <t>09/25/25</t>
  </si>
  <si>
    <t>10/09/25</t>
  </si>
  <si>
    <t>25/10/09</t>
  </si>
  <si>
    <t>10/23/25</t>
  </si>
  <si>
    <t>25/10/23</t>
  </si>
  <si>
    <t>11/06/25</t>
  </si>
  <si>
    <t>11/20/25</t>
  </si>
  <si>
    <t>12/04/25</t>
  </si>
  <si>
    <t>12/18/25</t>
  </si>
  <si>
    <t>01/01/26</t>
  </si>
  <si>
    <t>01/15/26</t>
  </si>
  <si>
    <t>01/29/26</t>
  </si>
  <si>
    <t>02/12/26</t>
  </si>
  <si>
    <t>02/26/26</t>
  </si>
  <si>
    <t>03/12/26</t>
  </si>
  <si>
    <t>03/26/26</t>
  </si>
  <si>
    <t>04/09/26</t>
  </si>
  <si>
    <t>04/23/26</t>
  </si>
  <si>
    <t>05/07/26</t>
  </si>
  <si>
    <t xml:space="preserve">99 - </t>
  </si>
  <si>
    <t>99 - Maya</t>
  </si>
  <si>
    <t>99 - Maya Expenses 2</t>
  </si>
  <si>
    <t>99 - 13thFY25</t>
  </si>
  <si>
    <t>99 - Corp34Q25</t>
  </si>
  <si>
    <t>99 - 13.5 Month 2026</t>
  </si>
  <si>
    <t>99 - ESPP1</t>
  </si>
  <si>
    <t>99 - 13.5 Month Pay</t>
  </si>
  <si>
    <t>CorpBonus-6-05-25</t>
  </si>
  <si>
    <t>99 - CorpBonus-6-05-25</t>
  </si>
  <si>
    <t>05/21/26</t>
  </si>
  <si>
    <t>99 - Corp12Q26</t>
  </si>
  <si>
    <t>06/04/26</t>
  </si>
  <si>
    <t>26/06/04</t>
  </si>
  <si>
    <t>06/18/2026 Salary</t>
  </si>
  <si>
    <t>Order</t>
  </si>
  <si>
    <t>Date with Babi and fam</t>
  </si>
  <si>
    <t>Massage</t>
  </si>
  <si>
    <t>Massage Date with babi</t>
  </si>
  <si>
    <t>Ricci Bake</t>
  </si>
  <si>
    <t>Burger King</t>
  </si>
  <si>
    <t>Perfume Order</t>
  </si>
  <si>
    <t>SnR + Jollibee</t>
  </si>
  <si>
    <t>Annual Fee + Tayah Phone + 24 chicken + Pickup Coffee</t>
  </si>
  <si>
    <t>Payment to Tayah Phone</t>
  </si>
  <si>
    <t>Plane ticket to Siquijor</t>
  </si>
  <si>
    <t>Reserved for House Payment | Ref payment (April) 1.1K remaining</t>
  </si>
  <si>
    <t>Savings from 6/04/26 Cutoff</t>
  </si>
  <si>
    <t>Mcdo Takeout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</si>
</sst>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-[$₱-3409]* #,##0.00_-;\-[$₱-3409]* #,##0.00_-;_-[$₱-3409]* &quot;-&quot;??_-;_-@_-"/>
    <numFmt numFmtId="165" formatCode="_-[$₱-464]* #,##0.00_-;\-[$₱-464]* #,##0.00_-;_-[$₱-464]* &quot;-&quot;??_-;_-@_-"/>
  </numFmts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Barlow"/>
    </font>
    <font>
      <sz val="11"/>
      <color theme="6"/>
      <name val="Barlow"/>
    </font>
    <font>
      <sz val="11"/>
      <color rgb="FFFF0000"/>
      <name val="Barlow"/>
    </font>
    <font>
      <sz val="11"/>
      <color theme="1"/>
      <name val="Aptos Narrow"/>
      <family val="2"/>
      <scheme val="minor"/>
    </font>
    <font>
      <sz val="22"/>
      <color rgb="FF000000"/>
      <name val="Barlow"/>
    </font>
    <font>
      <sz val="15"/>
      <color rgb="FF000000"/>
      <name val="Barlow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43">
    <xf numFmtId="0" fontId="0" fillId="0" borderId="0" xfId="0"/>
    <xf numFmtId="0" fontId="2" fillId="0" borderId="1" xfId="0" applyFont="1" applyBorder="1"/>
    <xf numFmtId="164" fontId="2" fillId="0" borderId="1" xfId="0" applyNumberFormat="1" applyFont="1" applyBorder="1"/>
    <xf numFmtId="0" fontId="2" fillId="0" borderId="0" xfId="0" applyFont="1"/>
    <xf numFmtId="0" fontId="3" fillId="3" borderId="0" xfId="0" applyFont="1" applyFill="1"/>
    <xf numFmtId="164" fontId="3" fillId="3" borderId="0" xfId="0" applyNumberFormat="1" applyFont="1" applyFill="1"/>
    <xf numFmtId="164" fontId="2" fillId="7" borderId="0" xfId="0" applyNumberFormat="1" applyFont="1" applyFill="1"/>
    <xf numFmtId="0" fontId="4" fillId="4" borderId="0" xfId="0" applyFont="1" applyFill="1"/>
    <xf numFmtId="164" fontId="4" fillId="4" borderId="0" xfId="0" applyNumberFormat="1" applyFont="1" applyFill="1"/>
    <xf numFmtId="0" fontId="2" fillId="5" borderId="0" xfId="0" applyFont="1" applyFill="1"/>
    <xf numFmtId="164" fontId="2" fillId="5" borderId="0" xfId="0" applyNumberFormat="1" applyFont="1" applyFill="1"/>
    <xf numFmtId="0" fontId="2" fillId="6" borderId="0" xfId="0" applyFont="1" applyFill="1"/>
    <xf numFmtId="164" fontId="2" fillId="6" borderId="0" xfId="0" applyNumberFormat="1" applyFont="1" applyFill="1"/>
    <xf numFmtId="164" fontId="2" fillId="0" borderId="0" xfId="0" applyNumberFormat="1" applyFont="1"/>
    <xf numFmtId="165" fontId="2" fillId="0" borderId="0" xfId="0" applyNumberFormat="1" applyFont="1"/>
    <xf numFmtId="14" fontId="2" fillId="5" borderId="0" xfId="0" applyNumberFormat="1" applyFont="1" applyFill="1"/>
    <xf numFmtId="164" fontId="2" fillId="2" borderId="0" xfId="0" applyNumberFormat="1" applyFont="1" applyFill="1"/>
    <xf numFmtId="164" fontId="2" fillId="8" borderId="0" xfId="0" applyNumberFormat="1" applyFont="1" applyFill="1"/>
    <xf numFmtId="164" fontId="2" fillId="9" borderId="0" xfId="0" applyNumberFormat="1" applyFont="1" applyFill="1"/>
    <xf numFmtId="164" fontId="2" fillId="0" borderId="0" xfId="1" applyNumberFormat="1" applyFont="1"/>
    <xf numFmtId="14" fontId="2" fillId="0" borderId="0" xfId="0" applyNumberFormat="1" applyFont="1" applyAlignment="1">
      <alignment horizontal="right"/>
    </xf>
    <xf numFmtId="164" fontId="2" fillId="10" borderId="0" xfId="0" applyNumberFormat="1" applyFont="1" applyFill="1"/>
    <xf numFmtId="164" fontId="2" fillId="11" borderId="0" xfId="0" applyNumberFormat="1" applyFont="1" applyFill="1"/>
    <xf numFmtId="0" fontId="2" fillId="7" borderId="0" xfId="0" applyFont="1" applyFill="1"/>
    <xf numFmtId="165" fontId="0" fillId="0" borderId="0" xfId="0" applyNumberFormat="1"/>
    <xf numFmtId="164" fontId="2" fillId="0" borderId="2" xfId="1" applyNumberFormat="1" applyFont="1" applyBorder="1"/>
    <xf numFmtId="164" fontId="2" fillId="12" borderId="2" xfId="1" applyNumberFormat="1" applyFont="1" applyFill="1" applyBorder="1"/>
    <xf numFmtId="0" fontId="2" fillId="0" borderId="3" xfId="0" applyFont="1" applyBorder="1"/>
    <xf numFmtId="0" fontId="2" fillId="12" borderId="3" xfId="0" applyFont="1" applyFill="1" applyBorder="1"/>
    <xf numFmtId="164" fontId="2" fillId="10" borderId="0" xfId="0" applyNumberFormat="1" applyFont="1" applyFill="1" applyAlignment="1">
      <alignment wrapText="1"/>
    </xf>
    <xf numFmtId="14" fontId="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quotePrefix="1"/>
    <xf numFmtId="49" fontId="0" fillId="0" borderId="0" xfId="0" quotePrefix="1" applyNumberFormat="1"/>
    <xf numFmtId="165" fontId="2" fillId="12" borderId="2" xfId="0" applyNumberFormat="1" applyFont="1" applyFill="1" applyBorder="1"/>
    <xf numFmtId="14" fontId="2" fillId="12" borderId="2" xfId="0" applyNumberFormat="1" applyFont="1" applyFill="1" applyBorder="1"/>
    <xf numFmtId="0" fontId="2" fillId="12" borderId="4" xfId="0" applyFont="1" applyFill="1" applyBorder="1"/>
    <xf numFmtId="165" fontId="2" fillId="0" borderId="2" xfId="0" applyNumberFormat="1" applyFont="1" applyBorder="1"/>
    <xf numFmtId="0" fontId="2" fillId="0" borderId="4" xfId="0" applyFont="1" applyBorder="1"/>
    <xf numFmtId="164" fontId="0" fillId="0" borderId="0" xfId="0" applyNumberFormat="1"/>
    <xf numFmtId="0" fontId="2" fillId="0" borderId="0" xfId="0" applyFont="1" applyFill="1"/>
  </cellXfs>
  <cellStyles count="2">
    <cellStyle name="Currency" xfId="1" builtinId="4"/>
    <cellStyle name="Normal" xfId="0" builtinId="0"/>
  </cellStyles>
  <dxfs count="284">
    <dxf>
      <numFmt numFmtId="0" formatCode="General"/>
    </dxf>
    <dxf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4" formatCode="_-[$₱-3409]* #,##0.00_-;\-[$₱-3409]* #,##0.00_-;_-[$₱-3409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  <numFmt numFmtId="165" formatCode="_-[$₱-464]* #,##0.00_-;\-[$₱-464]* #,##0.00_-;_-[$₱-464]* &quot;-&quot;??_-;_-@_-"/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rlow"/>
        <scheme val="none"/>
      </font>
    </dxf>
    <dxf>
      <font>
        <strike val="0"/>
        <outline val="0"/>
        <shadow val="0"/>
        <u val="none"/>
        <vertAlign val="baseline"/>
        <sz val="11"/>
        <name val="Barlow"/>
        <scheme val="none"/>
      </font>
      <numFmt numFmtId="164" formatCode="_-[$₱-3409]* #,##0.00_-;\-[$₱-3409]* #,##0.00_-;_-[$₱-3409]* &quot;-&quot;??_-;_-@_-"/>
      <fill>
        <patternFill patternType="solid">
          <fgColor indexed="64"/>
          <bgColor rgb="FFFF99CC"/>
        </patternFill>
      </fill>
    </dxf>
    <dxf>
      <font>
        <strike val="0"/>
        <outline val="0"/>
        <shadow val="0"/>
        <u val="none"/>
        <vertAlign val="baseline"/>
        <sz val="11"/>
        <name val="Barlow"/>
        <scheme val="none"/>
      </font>
      <numFmt numFmtId="164" formatCode="_-[$₱-3409]* #,##0.00_-;\-[$₱-3409]* #,##0.00_-;_-[$₱-3409]* &quot;-&quot;??_-;_-@_-"/>
      <fill>
        <patternFill patternType="solid">
          <fgColor indexed="64"/>
          <bgColor rgb="FFFF99FF"/>
        </patternFill>
      </fill>
    </dxf>
    <dxf>
      <font>
        <strike val="0"/>
        <outline val="0"/>
        <shadow val="0"/>
        <u val="none"/>
        <vertAlign val="baseline"/>
        <sz val="11"/>
        <name val="Barlow"/>
        <scheme val="none"/>
      </font>
      <numFmt numFmtId="164" formatCode="_-[$₱-3409]* #,##0.00_-;\-[$₱-3409]* #,##0.00_-;_-[$₱-3409]* &quot;-&quot;??_-;_-@_-"/>
      <fill>
        <patternFill patternType="solid">
          <fgColor indexed="64"/>
          <bgColor theme="5" tint="0.39997558519241921"/>
        </patternFill>
      </fill>
    </dxf>
    <dxf>
      <font>
        <strike val="0"/>
        <outline val="0"/>
        <shadow val="0"/>
        <u val="none"/>
        <vertAlign val="baseline"/>
        <sz val="11"/>
        <name val="Barlow"/>
        <scheme val="none"/>
      </font>
      <numFmt numFmtId="164" formatCode="_-[$₱-3409]* #,##0.00_-;\-[$₱-3409]* #,##0.00_-;_-[$₱-3409]* &quot;-&quot;??_-;_-@_-"/>
      <fill>
        <patternFill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11"/>
        <name val="Barlow"/>
        <scheme val="none"/>
      </font>
      <numFmt numFmtId="164" formatCode="_-[$₱-3409]* #,##0.00_-;\-[$₱-3409]* #,##0.00_-;_-[$₱-3409]* &quot;-&quot;??_-;_-@_-"/>
      <fill>
        <patternFill patternType="solid">
          <fgColor indexed="64"/>
          <bgColor rgb="FF000000"/>
        </patternFill>
      </fill>
    </dxf>
    <dxf>
      <font>
        <strike val="0"/>
        <outline val="0"/>
        <shadow val="0"/>
        <u val="none"/>
        <vertAlign val="baseline"/>
        <sz val="11"/>
        <name val="Barlow"/>
        <scheme val="none"/>
      </font>
      <numFmt numFmtId="164" formatCode="_-[$₱-3409]* #,##0.00_-;\-[$₱-3409]* #,##0.00_-;_-[$₱-3409]* &quot;-&quot;??_-;_-@_-"/>
      <fill>
        <patternFill patternType="solid">
          <fgColor indexed="64"/>
          <bgColor rgb="FF000000"/>
        </patternFill>
      </fill>
    </dxf>
    <dxf>
      <font>
        <strike val="0"/>
        <outline val="0"/>
        <shadow val="0"/>
        <u val="none"/>
        <vertAlign val="baseline"/>
        <sz val="11"/>
        <name val="Barlow"/>
        <scheme val="none"/>
      </font>
    </dxf>
    <dxf>
      <border diagonalUp="0" diagonalDown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Barlow"/>
        <scheme val="none"/>
      </font>
      <numFmt numFmtId="164" formatCode="_-[$₱-3409]* #,##0.00_-;\-[$₱-3409]* #,##0.00_-;_-[$₱-3409]* &quot;-&quot;??_-;_-@_-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Barlow"/>
        <scheme val="none"/>
      </font>
      <numFmt numFmtId="164" formatCode="_-[$₱-3409]* #,##0.00_-;\-[$₱-3409]* #,##0.00_-;_-[$₱-3409]* &quot;-&quot;??_-;_-@_-"/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 patternType="solid">
          <bgColor theme="5" tint="0.79998168889431442"/>
        </patternFill>
      </fill>
    </dxf>
  </dxfs>
  <tableStyles count="0" defaultTableStyle="TableStyleMedium2" defaultPivotStyle="PivotStyleLight16"/>
  <colors>
    <mruColors>
      <color rgb="FFFF99CC"/>
      <color rgb="FFFF99FF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pivotCacheDefinition" Target="pivotCache/pivotCacheDefinition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[BudgetTracker_Final_Update.xlsm]ExpenseTableData!ExpensePivot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rlow" panose="00000500000000000000" pitchFamily="2" charset="0"/>
                <a:ea typeface="+mn-ea"/>
                <a:cs typeface="+mn-cs"/>
              </a:defRPr>
            </a:pPr>
            <a:r>
              <a:rPr lang="en-US"/>
              <a:t>Expenses by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rlow" panose="000005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Barlow" panose="000005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5663638693540661E-2"/>
          <c:y val="2.4473237828881684E-2"/>
          <c:w val="0.96936570472542205"/>
          <c:h val="0.876462248762322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ExpenseTableData!$I$3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rlow" panose="000005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ExpenseTableData!$H$4:$H$34</c:f>
              <c:strCache>
                <c:ptCount val="30"/>
                <c:pt idx="0">
                  <c:v>25/03/13</c:v>
                </c:pt>
                <c:pt idx="1">
                  <c:v>25/04/10</c:v>
                </c:pt>
                <c:pt idx="2">
                  <c:v>25/04/24</c:v>
                </c:pt>
                <c:pt idx="3">
                  <c:v>25/05/08</c:v>
                </c:pt>
                <c:pt idx="4">
                  <c:v>25/06/05</c:v>
                </c:pt>
                <c:pt idx="5">
                  <c:v>25/06/19</c:v>
                </c:pt>
                <c:pt idx="6">
                  <c:v>25/07/03</c:v>
                </c:pt>
                <c:pt idx="7">
                  <c:v>25/07/17</c:v>
                </c:pt>
                <c:pt idx="8">
                  <c:v>25/07/31</c:v>
                </c:pt>
                <c:pt idx="9">
                  <c:v>25/08/14</c:v>
                </c:pt>
                <c:pt idx="10">
                  <c:v>25/08/28</c:v>
                </c:pt>
                <c:pt idx="11">
                  <c:v>25/09/11</c:v>
                </c:pt>
                <c:pt idx="12">
                  <c:v>25/09/25</c:v>
                </c:pt>
                <c:pt idx="13">
                  <c:v>25/11/06</c:v>
                </c:pt>
                <c:pt idx="14">
                  <c:v>25/11/20</c:v>
                </c:pt>
                <c:pt idx="15">
                  <c:v>25/12/04</c:v>
                </c:pt>
                <c:pt idx="16">
                  <c:v>25/12/18</c:v>
                </c:pt>
                <c:pt idx="17">
                  <c:v>26/01/01</c:v>
                </c:pt>
                <c:pt idx="18">
                  <c:v>26/01/15</c:v>
                </c:pt>
                <c:pt idx="19">
                  <c:v>26/01/29</c:v>
                </c:pt>
                <c:pt idx="20">
                  <c:v>26/02/12</c:v>
                </c:pt>
                <c:pt idx="21">
                  <c:v>26/02/26</c:v>
                </c:pt>
                <c:pt idx="22">
                  <c:v>26/03/12</c:v>
                </c:pt>
                <c:pt idx="23">
                  <c:v>26/03/26</c:v>
                </c:pt>
                <c:pt idx="24">
                  <c:v>26/04/09</c:v>
                </c:pt>
                <c:pt idx="25">
                  <c:v>26/04/23</c:v>
                </c:pt>
                <c:pt idx="26">
                  <c:v>26/05/07</c:v>
                </c:pt>
                <c:pt idx="27">
                  <c:v>26/05/21</c:v>
                </c:pt>
                <c:pt idx="28">
                  <c:v>26/06/04</c:v>
                </c:pt>
                <c:pt idx="29">
                  <c:v>99 - ESPP Expenses 2</c:v>
                </c:pt>
              </c:strCache>
            </c:strRef>
          </c:cat>
          <c:val>
            <c:numRef>
              <c:f>ExpenseTableData!$I$4:$I$34</c:f>
              <c:numCache>
                <c:formatCode>General</c:formatCode>
                <c:ptCount val="30"/>
                <c:pt idx="0">
                  <c:v>3500</c:v>
                </c:pt>
                <c:pt idx="1">
                  <c:v>2250</c:v>
                </c:pt>
                <c:pt idx="2">
                  <c:v>1950</c:v>
                </c:pt>
                <c:pt idx="3">
                  <c:v>3000</c:v>
                </c:pt>
                <c:pt idx="4">
                  <c:v>7000</c:v>
                </c:pt>
                <c:pt idx="5">
                  <c:v>1950</c:v>
                </c:pt>
                <c:pt idx="6">
                  <c:v>3000</c:v>
                </c:pt>
                <c:pt idx="7">
                  <c:v>4500</c:v>
                </c:pt>
                <c:pt idx="8">
                  <c:v>2518</c:v>
                </c:pt>
                <c:pt idx="9">
                  <c:v>4055</c:v>
                </c:pt>
                <c:pt idx="10">
                  <c:v>2000</c:v>
                </c:pt>
                <c:pt idx="11">
                  <c:v>1300</c:v>
                </c:pt>
                <c:pt idx="12">
                  <c:v>1000</c:v>
                </c:pt>
                <c:pt idx="13">
                  <c:v>1250</c:v>
                </c:pt>
                <c:pt idx="14">
                  <c:v>2010</c:v>
                </c:pt>
                <c:pt idx="15">
                  <c:v>2860</c:v>
                </c:pt>
                <c:pt idx="16">
                  <c:v>3000</c:v>
                </c:pt>
                <c:pt idx="17">
                  <c:v>2010</c:v>
                </c:pt>
                <c:pt idx="18">
                  <c:v>3160</c:v>
                </c:pt>
                <c:pt idx="19">
                  <c:v>2180</c:v>
                </c:pt>
                <c:pt idx="20">
                  <c:v>3538</c:v>
                </c:pt>
                <c:pt idx="21">
                  <c:v>3099</c:v>
                </c:pt>
                <c:pt idx="22">
                  <c:v>3153</c:v>
                </c:pt>
                <c:pt idx="23">
                  <c:v>2400</c:v>
                </c:pt>
                <c:pt idx="24">
                  <c:v>3500</c:v>
                </c:pt>
                <c:pt idx="25">
                  <c:v>1510</c:v>
                </c:pt>
                <c:pt idx="26">
                  <c:v>1010</c:v>
                </c:pt>
                <c:pt idx="27">
                  <c:v>2000</c:v>
                </c:pt>
                <c:pt idx="28">
                  <c:v>1200</c:v>
                </c:pt>
                <c:pt idx="29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49-4761-906B-C3D0436B469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53441983"/>
        <c:axId val="453434783"/>
      </c:barChart>
      <c:catAx>
        <c:axId val="453441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rlow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453434783"/>
        <c:crosses val="autoZero"/>
        <c:auto val="1"/>
        <c:lblAlgn val="ctr"/>
        <c:lblOffset val="100"/>
        <c:noMultiLvlLbl val="0"/>
      </c:catAx>
      <c:valAx>
        <c:axId val="453434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rlow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453441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Barlow" panose="000005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microsoft.com/office/2007/relationships/hdphoto" Target="../media/hdphoto2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41</xdr:col>
      <xdr:colOff>241300</xdr:colOff>
      <xdr:row>75</xdr:row>
      <xdr:rowOff>165100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1</xdr:row>
          <xdr:rowOff>171450</xdr:rowOff>
        </xdr:from>
        <xdr:to>
          <xdr:col>12</xdr:col>
          <xdr:colOff>885825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Barlow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4</xdr:row>
          <xdr:rowOff>133350</xdr:rowOff>
        </xdr:from>
        <xdr:to>
          <xdr:col>12</xdr:col>
          <xdr:colOff>895350</xdr:colOff>
          <xdr:row>7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Barlow"/>
                </a:rPr>
                <a:t>OPEN SHEET MANAGER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7</xdr:row>
          <xdr:rowOff>85725</xdr:rowOff>
        </xdr:from>
        <xdr:to>
          <xdr:col>12</xdr:col>
          <xdr:colOff>895350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Barlow"/>
                </a:rPr>
                <a:t>DELETE SHEETS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1324017</xdr:colOff>
      <xdr:row>4</xdr:row>
      <xdr:rowOff>136372</xdr:rowOff>
    </xdr:from>
    <xdr:to>
      <xdr:col>9</xdr:col>
      <xdr:colOff>523916</xdr:colOff>
      <xdr:row>8</xdr:row>
      <xdr:rowOff>142233</xdr:rowOff>
    </xdr:to>
    <xdr:pic macro="[0]!ToggleAmountVisibility">
      <xdr:nvPicPr>
        <xdr:cNvPr id="4" name="eye_open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9805" y1="31152" x2="49805" y2="31152"/>
                      <a14:foregroundMark x1="34570" y1="32324" x2="34570" y2="32324"/>
                      <a14:foregroundMark x1="67871" y1="31641" x2="67871" y2="31641"/>
                      <a14:foregroundMark x1="56445" y1="51855" x2="56445" y2="5185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8590" y="1186320"/>
          <a:ext cx="914400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1310320</xdr:colOff>
      <xdr:row>4</xdr:row>
      <xdr:rowOff>136372</xdr:rowOff>
    </xdr:from>
    <xdr:to>
      <xdr:col>9</xdr:col>
      <xdr:colOff>510219</xdr:colOff>
      <xdr:row>8</xdr:row>
      <xdr:rowOff>142233</xdr:rowOff>
    </xdr:to>
    <xdr:pic macro="[0]!ToggleAmountVisibility">
      <xdr:nvPicPr>
        <xdr:cNvPr id="5" name="eye_closed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0000" b="90000" l="10000" r="90000">
                      <a14:foregroundMark x1="46875" y1="34180" x2="52148" y2="34180"/>
                      <a14:foregroundMark x1="43262" y1="45898" x2="46875" y2="43262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999353" y="1210212"/>
          <a:ext cx="914400" cy="93351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enido, Angelo" refreshedDate="46191.418652777778" createdVersion="8" refreshedVersion="8" minRefreshableVersion="3" recordCount="830" xr:uid="{1701C966-3FEF-438B-AE8B-D1BC16F56C75}">
  <cacheSource type="worksheet">
    <worksheetSource ref="A1:E831" sheet="ExpenseTableData"/>
  </cacheSource>
  <cacheFields count="5">
    <cacheField name="SheetName" numFmtId="49">
      <sharedItems/>
    </cacheField>
    <cacheField name="Expenses" numFmtId="0">
      <sharedItems count="81">
        <s v="Rent"/>
        <s v="Water Bill"/>
        <s v="BDO Credit Card"/>
        <s v="BPI Credit Card"/>
        <s v="Withdraw"/>
        <s v="Withdraw Fee"/>
        <s v="Utang"/>
        <s v="Bayad"/>
        <s v="Jollibee"/>
        <s v="Electric Bill"/>
        <s v="24 Chicken"/>
        <s v="Cats"/>
        <s v="Watsons"/>
        <s v="Savings"/>
        <s v="Spotify"/>
        <s v="Budget"/>
        <s v="Carry Over"/>
        <s v="Transfer"/>
        <s v="Vape"/>
        <s v="Load"/>
        <s v="Chocolate"/>
        <s v="LoR"/>
        <s v="Transfer Fee"/>
        <s v="Figaro"/>
        <s v="Payment"/>
        <s v="Badminton"/>
        <s v="PS4"/>
        <s v="Tax"/>
        <s v="Correction Factor"/>
        <s v="Wifi"/>
        <s v="Interest"/>
        <s v="Gift"/>
        <s v="Tiktok Shop"/>
        <s v="Staycation"/>
        <s v="Dunkin"/>
        <s v="House"/>
        <s v="Mcdo"/>
        <s v="Food"/>
        <s v="Groceries"/>
        <s v="Lunch Out"/>
        <s v="Gcash"/>
        <s v="Netflix"/>
        <s v="Switch 2"/>
        <s v="Cashout"/>
        <s v="Outing"/>
        <s v="Laguna Budget"/>
        <s v="Emergency"/>
        <s v="Date with Babi"/>
        <s v="Clothes"/>
        <s v="Received"/>
        <s v="Dinner Out"/>
        <s v="Phone"/>
        <s v="Dinner Date"/>
        <s v="Disney"/>
        <s v="Ticket to MPH"/>
        <s v="Ticket to MNL"/>
        <s v="Accommodation"/>
        <s v="Chowking"/>
        <s v="Baggage"/>
        <s v="HOHO Bora"/>
        <s v="Island Chicken Inasal"/>
        <s v="Batuta Bar"/>
        <s v="Saboria"/>
        <s v="Klook"/>
        <s v="Alta Vista (Breakfast)"/>
        <s v="Mandarin Spa"/>
        <s v="Spice Birds"/>
        <s v="Two Seasons"/>
        <s v="KFC"/>
        <s v="Coco Mama"/>
        <s v="Ticket to BXU"/>
        <s v="CDC Cafe"/>
        <s v="SM Groceries"/>
        <s v="General Cleaning"/>
        <s v="Popeye's"/>
        <s v="Gas"/>
        <s v="Refund"/>
        <s v="Camiguin"/>
        <s v="Le Andres Café"/>
        <s v="Birthday"/>
        <s v="Plane Ticket"/>
      </sharedItems>
    </cacheField>
    <cacheField name="Amount" numFmtId="0">
      <sharedItems containsSemiMixedTypes="0" containsString="0" containsNumber="1" minValue="-30000" maxValue="41000"/>
    </cacheField>
    <cacheField name="SortKey" numFmtId="0">
      <sharedItems containsMixedTypes="1" containsNumber="1" containsInteger="1" minValue="25" maxValue="26"/>
    </cacheField>
    <cacheField name="SortedName" numFmtId="49">
      <sharedItems count="43">
        <s v="25/02/27"/>
        <s v="25/03/13"/>
        <s v="25/04/10"/>
        <s v="25/04/24"/>
        <s v="25/05/08"/>
        <s v="25/05/22"/>
        <s v="25/06/05"/>
        <s v="25/06/19"/>
        <s v="25/07/03"/>
        <s v="25/07/17"/>
        <s v="25/07/31"/>
        <s v="25/08/14"/>
        <s v="25/08/28"/>
        <s v="25/09/11"/>
        <s v="25/09/25"/>
        <s v="25/10/09"/>
        <s v="25/10/23"/>
        <s v="25/11/06"/>
        <s v="25/11/20"/>
        <s v="25/12/04"/>
        <s v="25/12/18"/>
        <s v="26/01/01"/>
        <s v="26/01/15"/>
        <s v="26/01/29"/>
        <s v="26/02/12"/>
        <s v="26/02/26"/>
        <s v="26/03/12"/>
        <s v="26/03/26"/>
        <s v="26/04/09"/>
        <s v="26/04/23"/>
        <s v="26/05/07"/>
        <s v="99 - Maya"/>
        <s v="99 - ESPP Expenses 2"/>
        <s v="99 - 13thFY25"/>
        <s v="99 - Corp34Q25"/>
        <s v="99 - 13.5 Month 2026"/>
        <s v="99 - ESPP1"/>
        <s v="99 - 13.5 Month Pay"/>
        <s v="99 - CorpBonus-6-05-25"/>
        <s v="99 - Maya Expenses 2"/>
        <s v="99 - Corp12Q26"/>
        <s v="26/06/04"/>
        <s v="26/05/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0">
  <r>
    <s v="02/27/25"/>
    <x v="0"/>
    <n v="2250"/>
    <n v="25"/>
    <x v="0"/>
  </r>
  <r>
    <s v="02/27/25"/>
    <x v="1"/>
    <n v="218"/>
    <n v="25"/>
    <x v="0"/>
  </r>
  <r>
    <s v="02/27/25"/>
    <x v="2"/>
    <n v="2785.92"/>
    <n v="25"/>
    <x v="0"/>
  </r>
  <r>
    <s v="02/27/25"/>
    <x v="3"/>
    <n v="322"/>
    <n v="25"/>
    <x v="0"/>
  </r>
  <r>
    <s v="02/27/25"/>
    <x v="4"/>
    <n v="1000"/>
    <n v="25"/>
    <x v="0"/>
  </r>
  <r>
    <s v="02/27/25"/>
    <x v="3"/>
    <n v="1083.75"/>
    <n v="25"/>
    <x v="0"/>
  </r>
  <r>
    <s v="02/27/25"/>
    <x v="5"/>
    <n v="15"/>
    <n v="25"/>
    <x v="0"/>
  </r>
  <r>
    <s v="02/27/25"/>
    <x v="4"/>
    <n v="1000"/>
    <n v="25"/>
    <x v="0"/>
  </r>
  <r>
    <s v="02/27/25"/>
    <x v="6"/>
    <n v="1000"/>
    <n v="25"/>
    <x v="0"/>
  </r>
  <r>
    <s v="02/27/25"/>
    <x v="7"/>
    <n v="-1000"/>
    <n v="25"/>
    <x v="0"/>
  </r>
  <r>
    <s v="02/27/25"/>
    <x v="5"/>
    <n v="5"/>
    <n v="25"/>
    <x v="0"/>
  </r>
  <r>
    <s v="02/27/25"/>
    <x v="8"/>
    <n v="225"/>
    <n v="25"/>
    <x v="0"/>
  </r>
  <r>
    <s v="02/27/25"/>
    <x v="7"/>
    <n v="-2100"/>
    <n v="25"/>
    <x v="0"/>
  </r>
  <r>
    <s v="02/27/25"/>
    <x v="9"/>
    <n v="150"/>
    <n v="25"/>
    <x v="0"/>
  </r>
  <r>
    <s v="02/27/25"/>
    <x v="4"/>
    <n v="1000"/>
    <n v="25"/>
    <x v="0"/>
  </r>
  <r>
    <s v="02/27/25"/>
    <x v="10"/>
    <n v="405"/>
    <n v="25"/>
    <x v="0"/>
  </r>
  <r>
    <s v="02/27/25"/>
    <x v="11"/>
    <n v="605"/>
    <n v="25"/>
    <x v="0"/>
  </r>
  <r>
    <s v="02/27/25"/>
    <x v="12"/>
    <n v="138"/>
    <n v="25"/>
    <x v="0"/>
  </r>
  <r>
    <s v="02/27/25"/>
    <x v="4"/>
    <n v="336.01"/>
    <n v="25"/>
    <x v="0"/>
  </r>
  <r>
    <s v="02/27/25"/>
    <x v="13"/>
    <n v="2000"/>
    <n v="25"/>
    <x v="0"/>
  </r>
  <r>
    <s v="03/13/25"/>
    <x v="4"/>
    <n v="663.99"/>
    <n v="25"/>
    <x v="1"/>
  </r>
  <r>
    <s v="03/13/25"/>
    <x v="5"/>
    <n v="18"/>
    <n v="25"/>
    <x v="1"/>
  </r>
  <r>
    <s v="03/13/25"/>
    <x v="14"/>
    <n v="201.99"/>
    <n v="25"/>
    <x v="1"/>
  </r>
  <r>
    <s v="03/13/25"/>
    <x v="15"/>
    <n v="1000"/>
    <n v="25"/>
    <x v="1"/>
  </r>
  <r>
    <s v="03/13/25"/>
    <x v="0"/>
    <n v="2250"/>
    <n v="25"/>
    <x v="1"/>
  </r>
  <r>
    <s v="03/13/25"/>
    <x v="5"/>
    <n v="5"/>
    <n v="25"/>
    <x v="1"/>
  </r>
  <r>
    <s v="03/13/25"/>
    <x v="15"/>
    <n v="1000"/>
    <n v="25"/>
    <x v="1"/>
  </r>
  <r>
    <s v="03/13/25"/>
    <x v="15"/>
    <n v="1000"/>
    <n v="25"/>
    <x v="1"/>
  </r>
  <r>
    <s v="03/13/25"/>
    <x v="15"/>
    <n v="500"/>
    <n v="25"/>
    <x v="1"/>
  </r>
  <r>
    <s v="03/13/25"/>
    <x v="2"/>
    <n v="1074.08"/>
    <n v="25"/>
    <x v="1"/>
  </r>
  <r>
    <s v="03/13/25"/>
    <x v="13"/>
    <n v="2105"/>
    <n v="25"/>
    <x v="1"/>
  </r>
  <r>
    <s v="03/13/25"/>
    <x v="16"/>
    <n v="239.31"/>
    <n v="25"/>
    <x v="1"/>
  </r>
  <r>
    <s v="04/10/25"/>
    <x v="6"/>
    <n v="905"/>
    <n v="25"/>
    <x v="2"/>
  </r>
  <r>
    <s v="04/10/25"/>
    <x v="2"/>
    <n v="497.91"/>
    <n v="25"/>
    <x v="2"/>
  </r>
  <r>
    <s v="04/10/25"/>
    <x v="17"/>
    <n v="102.09"/>
    <n v="25"/>
    <x v="2"/>
  </r>
  <r>
    <s v="04/10/25"/>
    <x v="16"/>
    <n v="-483.64"/>
    <n v="25"/>
    <x v="2"/>
  </r>
  <r>
    <s v="04/10/25"/>
    <x v="15"/>
    <n v="1000"/>
    <n v="25"/>
    <x v="2"/>
  </r>
  <r>
    <s v="04/10/25"/>
    <x v="18"/>
    <n v="750"/>
    <n v="25"/>
    <x v="2"/>
  </r>
  <r>
    <s v="04/10/25"/>
    <x v="15"/>
    <n v="1250"/>
    <n v="25"/>
    <x v="2"/>
  </r>
  <r>
    <s v="04/10/25"/>
    <x v="0"/>
    <n v="2250"/>
    <n v="25"/>
    <x v="2"/>
  </r>
  <r>
    <s v="04/10/25"/>
    <x v="14"/>
    <n v="201.99"/>
    <n v="25"/>
    <x v="2"/>
  </r>
  <r>
    <s v="04/10/25"/>
    <x v="19"/>
    <n v="105"/>
    <n v="25"/>
    <x v="2"/>
  </r>
  <r>
    <s v="04/10/25"/>
    <x v="5"/>
    <n v="18"/>
    <n v="25"/>
    <x v="2"/>
  </r>
  <r>
    <s v="04/10/25"/>
    <x v="4"/>
    <n v="1000"/>
    <n v="25"/>
    <x v="2"/>
  </r>
  <r>
    <s v="04/10/25"/>
    <x v="19"/>
    <n v="110"/>
    <n v="25"/>
    <x v="2"/>
  </r>
  <r>
    <s v="04/10/25"/>
    <x v="20"/>
    <n v="230"/>
    <n v="25"/>
    <x v="2"/>
  </r>
  <r>
    <s v="04/10/25"/>
    <x v="16"/>
    <n v="-666.39"/>
    <n v="25"/>
    <x v="2"/>
  </r>
  <r>
    <s v="04/10/25"/>
    <x v="13"/>
    <n v="1005"/>
    <n v="25"/>
    <x v="2"/>
  </r>
  <r>
    <s v="04/10/25"/>
    <x v="16"/>
    <n v="787.5"/>
    <n v="25"/>
    <x v="2"/>
  </r>
  <r>
    <s v="04/24/25"/>
    <x v="4"/>
    <n v="1005"/>
    <n v="25"/>
    <x v="3"/>
  </r>
  <r>
    <s v="04/24/25"/>
    <x v="16"/>
    <n v="-787.5"/>
    <n v="25"/>
    <x v="3"/>
  </r>
  <r>
    <s v="04/24/25"/>
    <x v="0"/>
    <n v="2250"/>
    <n v="25"/>
    <x v="3"/>
  </r>
  <r>
    <s v="04/24/25"/>
    <x v="1"/>
    <n v="218"/>
    <n v="25"/>
    <x v="3"/>
  </r>
  <r>
    <s v="04/24/25"/>
    <x v="21"/>
    <n v="399"/>
    <n v="25"/>
    <x v="3"/>
  </r>
  <r>
    <s v="04/24/25"/>
    <x v="2"/>
    <n v="2468.17"/>
    <n v="25"/>
    <x v="3"/>
  </r>
  <r>
    <s v="04/24/25"/>
    <x v="22"/>
    <n v="5"/>
    <n v="25"/>
    <x v="3"/>
  </r>
  <r>
    <s v="04/24/25"/>
    <x v="23"/>
    <n v="225"/>
    <n v="25"/>
    <x v="3"/>
  </r>
  <r>
    <s v="04/24/25"/>
    <x v="6"/>
    <n v="1005"/>
    <n v="25"/>
    <x v="3"/>
  </r>
  <r>
    <s v="04/24/25"/>
    <x v="3"/>
    <n v="1083.25"/>
    <n v="25"/>
    <x v="3"/>
  </r>
  <r>
    <s v="04/24/25"/>
    <x v="24"/>
    <n v="-2600"/>
    <n v="25"/>
    <x v="3"/>
  </r>
  <r>
    <s v="04/24/25"/>
    <x v="17"/>
    <n v="786"/>
    <n v="25"/>
    <x v="3"/>
  </r>
  <r>
    <s v="04/24/25"/>
    <x v="15"/>
    <n v="1000"/>
    <n v="25"/>
    <x v="3"/>
  </r>
  <r>
    <s v="04/24/25"/>
    <x v="6"/>
    <n v="3005"/>
    <n v="25"/>
    <x v="3"/>
  </r>
  <r>
    <s v="04/24/25"/>
    <x v="15"/>
    <n v="350"/>
    <n v="25"/>
    <x v="3"/>
  </r>
  <r>
    <s v="04/24/25"/>
    <x v="7"/>
    <n v="-4000"/>
    <n v="25"/>
    <x v="3"/>
  </r>
  <r>
    <s v="04/24/25"/>
    <x v="25"/>
    <n v="400"/>
    <n v="25"/>
    <x v="3"/>
  </r>
  <r>
    <s v="04/24/25"/>
    <x v="7"/>
    <n v="1000"/>
    <n v="25"/>
    <x v="3"/>
  </r>
  <r>
    <s v="04/24/25"/>
    <x v="13"/>
    <n v="2000"/>
    <n v="25"/>
    <x v="3"/>
  </r>
  <r>
    <s v="04/24/25"/>
    <x v="15"/>
    <n v="600"/>
    <n v="25"/>
    <x v="3"/>
  </r>
  <r>
    <s v="04/24/25"/>
    <x v="16"/>
    <n v="0.28999999999999998"/>
    <n v="25"/>
    <x v="3"/>
  </r>
  <r>
    <s v="05/08/25"/>
    <x v="16"/>
    <n v="-0.28999999999999998"/>
    <n v="25"/>
    <x v="4"/>
  </r>
  <r>
    <s v="05/08/25"/>
    <x v="0"/>
    <n v="2250"/>
    <n v="25"/>
    <x v="4"/>
  </r>
  <r>
    <s v="05/08/25"/>
    <x v="9"/>
    <n v="295"/>
    <n v="25"/>
    <x v="4"/>
  </r>
  <r>
    <s v="05/08/25"/>
    <x v="3"/>
    <n v="137"/>
    <n v="25"/>
    <x v="4"/>
  </r>
  <r>
    <s v="05/08/25"/>
    <x v="2"/>
    <n v="6488.05"/>
    <n v="25"/>
    <x v="4"/>
  </r>
  <r>
    <s v="05/08/25"/>
    <x v="11"/>
    <n v="600"/>
    <n v="25"/>
    <x v="4"/>
  </r>
  <r>
    <s v="05/08/25"/>
    <x v="9"/>
    <n v="505"/>
    <n v="25"/>
    <x v="4"/>
  </r>
  <r>
    <s v="05/08/25"/>
    <x v="18"/>
    <n v="500"/>
    <n v="25"/>
    <x v="4"/>
  </r>
  <r>
    <s v="05/08/25"/>
    <x v="15"/>
    <n v="1000"/>
    <n v="25"/>
    <x v="4"/>
  </r>
  <r>
    <s v="05/08/25"/>
    <x v="22"/>
    <n v="20"/>
    <n v="25"/>
    <x v="4"/>
  </r>
  <r>
    <s v="05/08/25"/>
    <x v="19"/>
    <n v="102"/>
    <n v="25"/>
    <x v="4"/>
  </r>
  <r>
    <s v="05/08/25"/>
    <x v="14"/>
    <n v="199"/>
    <n v="25"/>
    <x v="4"/>
  </r>
  <r>
    <s v="05/08/25"/>
    <x v="17"/>
    <n v="1000"/>
    <n v="25"/>
    <x v="4"/>
  </r>
  <r>
    <s v="05/08/25"/>
    <x v="22"/>
    <n v="5"/>
    <n v="25"/>
    <x v="4"/>
  </r>
  <r>
    <s v="05/08/25"/>
    <x v="15"/>
    <n v="1000"/>
    <n v="25"/>
    <x v="4"/>
  </r>
  <r>
    <s v="05/08/25"/>
    <x v="15"/>
    <n v="1000"/>
    <n v="25"/>
    <x v="4"/>
  </r>
  <r>
    <s v="05/08/25"/>
    <x v="13"/>
    <n v="2000"/>
    <n v="25"/>
    <x v="4"/>
  </r>
  <r>
    <s v="05/08/25"/>
    <x v="22"/>
    <n v="5"/>
    <n v="25"/>
    <x v="4"/>
  </r>
  <r>
    <s v="05/08/25"/>
    <x v="16"/>
    <n v="70.510000000000005"/>
    <n v="25"/>
    <x v="4"/>
  </r>
  <r>
    <s v="05/22/25"/>
    <x v="16"/>
    <n v="-70.510000000000005"/>
    <n v="25"/>
    <x v="5"/>
  </r>
  <r>
    <s v="05/22/25"/>
    <x v="3"/>
    <n v="2269.25"/>
    <n v="25"/>
    <x v="5"/>
  </r>
  <r>
    <s v="05/22/25"/>
    <x v="2"/>
    <n v="1785.92"/>
    <n v="25"/>
    <x v="5"/>
  </r>
  <r>
    <s v="05/22/25"/>
    <x v="22"/>
    <n v="5"/>
    <n v="25"/>
    <x v="5"/>
  </r>
  <r>
    <s v="05/22/25"/>
    <x v="26"/>
    <n v="599.44000000000005"/>
    <n v="25"/>
    <x v="5"/>
  </r>
  <r>
    <s v="05/22/25"/>
    <x v="27"/>
    <n v="5.99"/>
    <n v="25"/>
    <x v="5"/>
  </r>
  <r>
    <s v="05/22/25"/>
    <x v="24"/>
    <n v="-5.99"/>
    <n v="25"/>
    <x v="5"/>
  </r>
  <r>
    <s v="05/22/25"/>
    <x v="6"/>
    <n v="1000"/>
    <n v="25"/>
    <x v="5"/>
  </r>
  <r>
    <s v="05/22/25"/>
    <x v="24"/>
    <n v="-1047.8399999999999"/>
    <n v="25"/>
    <x v="5"/>
  </r>
  <r>
    <s v="05/22/25"/>
    <x v="0"/>
    <n v="2250"/>
    <n v="25"/>
    <x v="5"/>
  </r>
  <r>
    <s v="05/22/25"/>
    <x v="1"/>
    <n v="218"/>
    <n v="25"/>
    <x v="5"/>
  </r>
  <r>
    <s v="05/22/25"/>
    <x v="25"/>
    <n v="185"/>
    <n v="25"/>
    <x v="5"/>
  </r>
  <r>
    <s v="05/22/25"/>
    <x v="28"/>
    <n v="-0.47"/>
    <n v="25"/>
    <x v="5"/>
  </r>
  <r>
    <s v="05/22/25"/>
    <x v="17"/>
    <n v="505"/>
    <n v="25"/>
    <x v="5"/>
  </r>
  <r>
    <s v="05/22/25"/>
    <x v="24"/>
    <n v="-4577"/>
    <n v="25"/>
    <x v="5"/>
  </r>
  <r>
    <s v="05/22/25"/>
    <x v="4"/>
    <n v="5000"/>
    <n v="25"/>
    <x v="5"/>
  </r>
  <r>
    <s v="05/22/25"/>
    <x v="2"/>
    <n v="4138.67"/>
    <n v="25"/>
    <x v="5"/>
  </r>
  <r>
    <s v="05/22/25"/>
    <x v="22"/>
    <n v="5"/>
    <n v="25"/>
    <x v="5"/>
  </r>
  <r>
    <s v="05/22/25"/>
    <x v="4"/>
    <n v="1000"/>
    <n v="25"/>
    <x v="5"/>
  </r>
  <r>
    <s v="05/22/25"/>
    <x v="5"/>
    <n v="18"/>
    <n v="25"/>
    <x v="5"/>
  </r>
  <r>
    <s v="05/22/25"/>
    <x v="17"/>
    <n v="300"/>
    <n v="25"/>
    <x v="5"/>
  </r>
  <r>
    <s v="05/22/25"/>
    <x v="22"/>
    <n v="5"/>
    <n v="25"/>
    <x v="5"/>
  </r>
  <r>
    <s v="05/22/25"/>
    <x v="4"/>
    <n v="1000"/>
    <n v="25"/>
    <x v="5"/>
  </r>
  <r>
    <s v="05/22/25"/>
    <x v="16"/>
    <n v="83.21"/>
    <n v="25"/>
    <x v="5"/>
  </r>
  <r>
    <s v="06/05/25"/>
    <x v="16"/>
    <n v="-83.21"/>
    <n v="25"/>
    <x v="6"/>
  </r>
  <r>
    <s v="06/05/25"/>
    <x v="15"/>
    <n v="1000"/>
    <n v="25"/>
    <x v="6"/>
  </r>
  <r>
    <s v="06/05/25"/>
    <x v="0"/>
    <n v="2250"/>
    <n v="25"/>
    <x v="6"/>
  </r>
  <r>
    <s v="06/05/25"/>
    <x v="9"/>
    <n v="249"/>
    <n v="25"/>
    <x v="6"/>
  </r>
  <r>
    <s v="06/05/25"/>
    <x v="2"/>
    <n v="2551.94"/>
    <n v="25"/>
    <x v="6"/>
  </r>
  <r>
    <s v="06/05/25"/>
    <x v="15"/>
    <n v="3000"/>
    <n v="25"/>
    <x v="6"/>
  </r>
  <r>
    <s v="06/05/25"/>
    <x v="4"/>
    <n v="1000"/>
    <n v="25"/>
    <x v="6"/>
  </r>
  <r>
    <s v="06/05/25"/>
    <x v="5"/>
    <n v="16"/>
    <n v="25"/>
    <x v="6"/>
  </r>
  <r>
    <s v="06/05/25"/>
    <x v="29"/>
    <n v="50"/>
    <n v="25"/>
    <x v="6"/>
  </r>
  <r>
    <s v="06/05/25"/>
    <x v="22"/>
    <n v="5"/>
    <n v="25"/>
    <x v="6"/>
  </r>
  <r>
    <s v="06/05/25"/>
    <x v="24"/>
    <n v="-3000"/>
    <n v="25"/>
    <x v="6"/>
  </r>
  <r>
    <s v="06/05/25"/>
    <x v="15"/>
    <n v="3000"/>
    <n v="25"/>
    <x v="6"/>
  </r>
  <r>
    <s v="06/05/25"/>
    <x v="16"/>
    <n v="18.84"/>
    <n v="25"/>
    <x v="6"/>
  </r>
  <r>
    <s v="06/19/25"/>
    <x v="16"/>
    <n v="-26.78"/>
    <n v="25"/>
    <x v="7"/>
  </r>
  <r>
    <s v="06/19/25"/>
    <x v="0"/>
    <n v="2250"/>
    <n v="25"/>
    <x v="7"/>
  </r>
  <r>
    <s v="06/19/25"/>
    <x v="3"/>
    <n v="2840.25"/>
    <n v="25"/>
    <x v="7"/>
  </r>
  <r>
    <s v="06/19/25"/>
    <x v="2"/>
    <n v="1649.92"/>
    <n v="25"/>
    <x v="7"/>
  </r>
  <r>
    <s v="06/19/25"/>
    <x v="14"/>
    <n v="199"/>
    <n v="25"/>
    <x v="7"/>
  </r>
  <r>
    <s v="06/19/25"/>
    <x v="11"/>
    <n v="750"/>
    <n v="25"/>
    <x v="7"/>
  </r>
  <r>
    <s v="06/19/25"/>
    <x v="19"/>
    <n v="100"/>
    <n v="25"/>
    <x v="7"/>
  </r>
  <r>
    <s v="06/19/25"/>
    <x v="15"/>
    <n v="150"/>
    <n v="25"/>
    <x v="7"/>
  </r>
  <r>
    <s v="06/19/25"/>
    <x v="22"/>
    <n v="5"/>
    <n v="25"/>
    <x v="7"/>
  </r>
  <r>
    <s v="06/19/25"/>
    <x v="15"/>
    <n v="1000"/>
    <n v="25"/>
    <x v="7"/>
  </r>
  <r>
    <s v="06/19/25"/>
    <x v="5"/>
    <n v="18"/>
    <n v="25"/>
    <x v="7"/>
  </r>
  <r>
    <s v="06/19/25"/>
    <x v="1"/>
    <n v="218"/>
    <n v="25"/>
    <x v="7"/>
  </r>
  <r>
    <s v="06/19/25"/>
    <x v="15"/>
    <n v="400"/>
    <n v="25"/>
    <x v="7"/>
  </r>
  <r>
    <s v="06/19/25"/>
    <x v="22"/>
    <n v="5"/>
    <n v="25"/>
    <x v="7"/>
  </r>
  <r>
    <s v="06/19/25"/>
    <x v="15"/>
    <n v="400"/>
    <n v="25"/>
    <x v="7"/>
  </r>
  <r>
    <s v="06/19/25"/>
    <x v="22"/>
    <n v="5"/>
    <n v="25"/>
    <x v="7"/>
  </r>
  <r>
    <s v="06/19/25"/>
    <x v="27"/>
    <n v="0.08"/>
    <n v="25"/>
    <x v="7"/>
  </r>
  <r>
    <s v="06/19/25"/>
    <x v="30"/>
    <n v="-0.39"/>
    <n v="25"/>
    <x v="7"/>
  </r>
  <r>
    <s v="06/19/25"/>
    <x v="16"/>
    <n v="58.58"/>
    <n v="25"/>
    <x v="7"/>
  </r>
  <r>
    <s v="07/03/25"/>
    <x v="16"/>
    <n v="-58.58"/>
    <n v="25"/>
    <x v="8"/>
  </r>
  <r>
    <s v="07/03/25"/>
    <x v="9"/>
    <n v="288"/>
    <n v="25"/>
    <x v="8"/>
  </r>
  <r>
    <s v="07/03/25"/>
    <x v="11"/>
    <n v="600"/>
    <n v="25"/>
    <x v="8"/>
  </r>
  <r>
    <s v="07/03/25"/>
    <x v="31"/>
    <n v="1000"/>
    <n v="25"/>
    <x v="8"/>
  </r>
  <r>
    <s v="07/03/25"/>
    <x v="2"/>
    <n v="2583"/>
    <n v="25"/>
    <x v="8"/>
  </r>
  <r>
    <s v="07/03/25"/>
    <x v="3"/>
    <n v="948"/>
    <n v="25"/>
    <x v="8"/>
  </r>
  <r>
    <s v="07/03/25"/>
    <x v="22"/>
    <n v="5"/>
    <n v="25"/>
    <x v="8"/>
  </r>
  <r>
    <s v="07/03/25"/>
    <x v="22"/>
    <n v="5"/>
    <n v="25"/>
    <x v="8"/>
  </r>
  <r>
    <s v="07/03/25"/>
    <x v="19"/>
    <n v="105"/>
    <n v="25"/>
    <x v="8"/>
  </r>
  <r>
    <s v="07/03/25"/>
    <x v="15"/>
    <n v="1000"/>
    <n v="25"/>
    <x v="8"/>
  </r>
  <r>
    <s v="07/03/25"/>
    <x v="18"/>
    <n v="455"/>
    <n v="25"/>
    <x v="8"/>
  </r>
  <r>
    <s v="07/03/25"/>
    <x v="15"/>
    <n v="1000"/>
    <n v="25"/>
    <x v="8"/>
  </r>
  <r>
    <s v="07/03/25"/>
    <x v="22"/>
    <n v="5"/>
    <n v="25"/>
    <x v="8"/>
  </r>
  <r>
    <s v="07/03/25"/>
    <x v="3"/>
    <n v="1624"/>
    <n v="25"/>
    <x v="8"/>
  </r>
  <r>
    <s v="07/03/25"/>
    <x v="32"/>
    <n v="505"/>
    <n v="25"/>
    <x v="8"/>
  </r>
  <r>
    <s v="07/03/25"/>
    <x v="6"/>
    <n v="1000"/>
    <n v="25"/>
    <x v="8"/>
  </r>
  <r>
    <s v="07/03/25"/>
    <x v="14"/>
    <n v="199"/>
    <n v="25"/>
    <x v="8"/>
  </r>
  <r>
    <s v="07/03/25"/>
    <x v="15"/>
    <n v="1000"/>
    <n v="25"/>
    <x v="8"/>
  </r>
  <r>
    <s v="07/03/25"/>
    <x v="19"/>
    <n v="110"/>
    <n v="25"/>
    <x v="8"/>
  </r>
  <r>
    <s v="07/03/25"/>
    <x v="33"/>
    <n v="404"/>
    <n v="25"/>
    <x v="8"/>
  </r>
  <r>
    <s v="07/03/25"/>
    <x v="34"/>
    <n v="225"/>
    <n v="25"/>
    <x v="8"/>
  </r>
  <r>
    <s v="07/03/25"/>
    <x v="13"/>
    <n v="1700"/>
    <n v="25"/>
    <x v="8"/>
  </r>
  <r>
    <s v="07/03/25"/>
    <x v="22"/>
    <n v="10"/>
    <n v="25"/>
    <x v="8"/>
  </r>
  <r>
    <s v="07/03/25"/>
    <x v="16"/>
    <n v="25.74"/>
    <n v="25"/>
    <x v="8"/>
  </r>
  <r>
    <s v="07/17/25"/>
    <x v="15"/>
    <n v="1000"/>
    <n v="25"/>
    <x v="9"/>
  </r>
  <r>
    <s v="07/17/25"/>
    <x v="16"/>
    <n v="-25.74"/>
    <n v="25"/>
    <x v="9"/>
  </r>
  <r>
    <s v="07/17/25"/>
    <x v="33"/>
    <n v="500"/>
    <n v="25"/>
    <x v="9"/>
  </r>
  <r>
    <s v="07/17/25"/>
    <x v="2"/>
    <n v="1261.4000000000001"/>
    <n v="25"/>
    <x v="9"/>
  </r>
  <r>
    <s v="07/17/25"/>
    <x v="3"/>
    <n v="1083.25"/>
    <n v="25"/>
    <x v="9"/>
  </r>
  <r>
    <s v="07/17/25"/>
    <x v="35"/>
    <n v="4000"/>
    <n v="25"/>
    <x v="9"/>
  </r>
  <r>
    <s v="07/17/25"/>
    <x v="22"/>
    <n v="5"/>
    <n v="25"/>
    <x v="9"/>
  </r>
  <r>
    <s v="07/17/25"/>
    <x v="36"/>
    <n v="198"/>
    <n v="25"/>
    <x v="9"/>
  </r>
  <r>
    <s v="07/17/25"/>
    <x v="15"/>
    <n v="1000"/>
    <n v="25"/>
    <x v="9"/>
  </r>
  <r>
    <s v="07/17/25"/>
    <x v="15"/>
    <n v="1000"/>
    <n v="25"/>
    <x v="9"/>
  </r>
  <r>
    <s v="07/17/25"/>
    <x v="15"/>
    <n v="1000"/>
    <n v="25"/>
    <x v="9"/>
  </r>
  <r>
    <s v="07/17/25"/>
    <x v="24"/>
    <n v="-500"/>
    <n v="25"/>
    <x v="9"/>
  </r>
  <r>
    <s v="07/17/25"/>
    <x v="24"/>
    <n v="-1800"/>
    <n v="25"/>
    <x v="9"/>
  </r>
  <r>
    <s v="07/17/25"/>
    <x v="13"/>
    <n v="1800"/>
    <n v="25"/>
    <x v="9"/>
  </r>
  <r>
    <s v="07/17/25"/>
    <x v="15"/>
    <n v="500"/>
    <n v="25"/>
    <x v="9"/>
  </r>
  <r>
    <s v="07/17/25"/>
    <x v="16"/>
    <n v="341.08"/>
    <n v="25"/>
    <x v="9"/>
  </r>
  <r>
    <s v="07/31/25"/>
    <x v="15"/>
    <n v="500"/>
    <n v="25"/>
    <x v="10"/>
  </r>
  <r>
    <s v="07/31/25"/>
    <x v="5"/>
    <n v="18"/>
    <n v="25"/>
    <x v="10"/>
  </r>
  <r>
    <s v="07/31/25"/>
    <x v="35"/>
    <n v="4000"/>
    <n v="25"/>
    <x v="10"/>
  </r>
  <r>
    <s v="07/31/25"/>
    <x v="16"/>
    <n v="-341.08"/>
    <n v="25"/>
    <x v="10"/>
  </r>
  <r>
    <s v="07/31/25"/>
    <x v="2"/>
    <n v="2553.75"/>
    <n v="25"/>
    <x v="10"/>
  </r>
  <r>
    <s v="07/31/25"/>
    <x v="15"/>
    <n v="1000"/>
    <n v="25"/>
    <x v="10"/>
  </r>
  <r>
    <s v="07/31/25"/>
    <x v="17"/>
    <n v="50"/>
    <n v="25"/>
    <x v="10"/>
  </r>
  <r>
    <s v="07/31/25"/>
    <x v="25"/>
    <n v="170"/>
    <n v="25"/>
    <x v="10"/>
  </r>
  <r>
    <s v="07/31/25"/>
    <x v="37"/>
    <n v="298"/>
    <n v="25"/>
    <x v="10"/>
  </r>
  <r>
    <s v="07/31/25"/>
    <x v="15"/>
    <n v="1018"/>
    <n v="25"/>
    <x v="10"/>
  </r>
  <r>
    <s v="07/31/25"/>
    <x v="25"/>
    <n v="225"/>
    <n v="25"/>
    <x v="10"/>
  </r>
  <r>
    <s v="07/31/25"/>
    <x v="25"/>
    <n v="185"/>
    <n v="25"/>
    <x v="10"/>
  </r>
  <r>
    <s v="07/31/25"/>
    <x v="14"/>
    <n v="199"/>
    <n v="25"/>
    <x v="10"/>
  </r>
  <r>
    <s v="07/31/25"/>
    <x v="16"/>
    <n v="646.07000000000005"/>
    <n v="25"/>
    <x v="10"/>
  </r>
  <r>
    <s v="08/14/25"/>
    <x v="16"/>
    <n v="-646.07000000000005"/>
    <n v="25"/>
    <x v="11"/>
  </r>
  <r>
    <s v="08/14/25"/>
    <x v="2"/>
    <n v="966.25"/>
    <n v="25"/>
    <x v="11"/>
  </r>
  <r>
    <s v="08/14/25"/>
    <x v="15"/>
    <n v="550"/>
    <n v="25"/>
    <x v="11"/>
  </r>
  <r>
    <s v="08/14/25"/>
    <x v="22"/>
    <n v="5"/>
    <n v="25"/>
    <x v="11"/>
  </r>
  <r>
    <s v="08/14/25"/>
    <x v="35"/>
    <n v="4000"/>
    <n v="25"/>
    <x v="11"/>
  </r>
  <r>
    <s v="08/14/25"/>
    <x v="37"/>
    <n v="225"/>
    <n v="25"/>
    <x v="11"/>
  </r>
  <r>
    <s v="08/14/25"/>
    <x v="37"/>
    <n v="420"/>
    <n v="25"/>
    <x v="11"/>
  </r>
  <r>
    <s v="08/14/25"/>
    <x v="18"/>
    <n v="450"/>
    <n v="25"/>
    <x v="11"/>
  </r>
  <r>
    <s v="08/14/25"/>
    <x v="17"/>
    <n v="50"/>
    <n v="25"/>
    <x v="11"/>
  </r>
  <r>
    <s v="08/14/25"/>
    <x v="22"/>
    <n v="5"/>
    <n v="25"/>
    <x v="11"/>
  </r>
  <r>
    <s v="08/14/25"/>
    <x v="15"/>
    <n v="1000"/>
    <n v="25"/>
    <x v="11"/>
  </r>
  <r>
    <s v="08/14/25"/>
    <x v="37"/>
    <n v="255"/>
    <n v="25"/>
    <x v="11"/>
  </r>
  <r>
    <s v="08/14/25"/>
    <x v="15"/>
    <n v="505"/>
    <n v="25"/>
    <x v="11"/>
  </r>
  <r>
    <s v="08/14/25"/>
    <x v="15"/>
    <n v="1000"/>
    <n v="25"/>
    <x v="11"/>
  </r>
  <r>
    <s v="08/14/25"/>
    <x v="5"/>
    <n v="18"/>
    <n v="25"/>
    <x v="11"/>
  </r>
  <r>
    <s v="08/14/25"/>
    <x v="15"/>
    <n v="1000"/>
    <n v="25"/>
    <x v="11"/>
  </r>
  <r>
    <s v="08/14/25"/>
    <x v="13"/>
    <n v="500"/>
    <n v="25"/>
    <x v="11"/>
  </r>
  <r>
    <s v="08/14/25"/>
    <x v="22"/>
    <n v="5"/>
    <n v="25"/>
    <x v="11"/>
  </r>
  <r>
    <s v="08/14/25"/>
    <x v="16"/>
    <n v="131.88999999999899"/>
    <n v="25"/>
    <x v="11"/>
  </r>
  <r>
    <s v="08/28/25"/>
    <x v="16"/>
    <n v="-131.88999999999899"/>
    <n v="25"/>
    <x v="12"/>
  </r>
  <r>
    <s v="08/28/25"/>
    <x v="35"/>
    <n v="4000"/>
    <n v="25"/>
    <x v="12"/>
  </r>
  <r>
    <s v="08/28/25"/>
    <x v="2"/>
    <n v="1650.91"/>
    <n v="25"/>
    <x v="12"/>
  </r>
  <r>
    <s v="08/28/25"/>
    <x v="2"/>
    <n v="399"/>
    <n v="25"/>
    <x v="12"/>
  </r>
  <r>
    <s v="08/28/25"/>
    <x v="22"/>
    <n v="5"/>
    <n v="25"/>
    <x v="12"/>
  </r>
  <r>
    <s v="08/28/25"/>
    <x v="15"/>
    <n v="1000"/>
    <n v="25"/>
    <x v="12"/>
  </r>
  <r>
    <s v="08/28/25"/>
    <x v="15"/>
    <n v="1000"/>
    <n v="25"/>
    <x v="12"/>
  </r>
  <r>
    <s v="08/28/25"/>
    <x v="13"/>
    <n v="2000"/>
    <n v="25"/>
    <x v="12"/>
  </r>
  <r>
    <s v="08/28/25"/>
    <x v="16"/>
    <n v="3.71999999999935"/>
    <n v="25"/>
    <x v="12"/>
  </r>
  <r>
    <s v="09/11/25"/>
    <x v="31"/>
    <n v="700"/>
    <n v="25"/>
    <x v="13"/>
  </r>
  <r>
    <s v="09/11/25"/>
    <x v="15"/>
    <n v="300"/>
    <n v="25"/>
    <x v="13"/>
  </r>
  <r>
    <s v="09/11/25"/>
    <x v="2"/>
    <n v="1966.9"/>
    <n v="25"/>
    <x v="13"/>
  </r>
  <r>
    <s v="09/11/25"/>
    <x v="35"/>
    <n v="4000"/>
    <n v="25"/>
    <x v="13"/>
  </r>
  <r>
    <s v="09/11/25"/>
    <x v="6"/>
    <n v="1005"/>
    <n v="25"/>
    <x v="13"/>
  </r>
  <r>
    <s v="09/11/25"/>
    <x v="2"/>
    <n v="700"/>
    <n v="25"/>
    <x v="13"/>
  </r>
  <r>
    <s v="09/11/25"/>
    <x v="16"/>
    <n v="-3.71999999999935"/>
    <n v="25"/>
    <x v="13"/>
  </r>
  <r>
    <s v="09/11/25"/>
    <x v="16"/>
    <n v="-611.00999999999499"/>
    <n v="25"/>
    <x v="13"/>
  </r>
  <r>
    <s v="09/11/25"/>
    <x v="22"/>
    <n v="5"/>
    <n v="25"/>
    <x v="13"/>
  </r>
  <r>
    <s v="09/11/25"/>
    <x v="32"/>
    <n v="278.5"/>
    <n v="25"/>
    <x v="13"/>
  </r>
  <r>
    <s v="09/11/25"/>
    <x v="6"/>
    <n v="2005"/>
    <n v="25"/>
    <x v="13"/>
  </r>
  <r>
    <s v="09/11/25"/>
    <x v="38"/>
    <n v="1500"/>
    <n v="25"/>
    <x v="13"/>
  </r>
  <r>
    <s v="09/11/25"/>
    <x v="15"/>
    <n v="1000"/>
    <n v="25"/>
    <x v="13"/>
  </r>
  <r>
    <s v="09/11/25"/>
    <x v="39"/>
    <n v="305"/>
    <n v="25"/>
    <x v="13"/>
  </r>
  <r>
    <s v="09/11/25"/>
    <x v="19"/>
    <n v="100"/>
    <n v="25"/>
    <x v="13"/>
  </r>
  <r>
    <s v="09/11/25"/>
    <x v="14"/>
    <n v="199"/>
    <n v="25"/>
    <x v="13"/>
  </r>
  <r>
    <s v="09/11/25"/>
    <x v="6"/>
    <n v="-3000"/>
    <n v="25"/>
    <x v="13"/>
  </r>
  <r>
    <s v="09/11/25"/>
    <x v="13"/>
    <n v="3000"/>
    <n v="25"/>
    <x v="13"/>
  </r>
  <r>
    <s v="09/11/25"/>
    <x v="16"/>
    <n v="283.219999999994"/>
    <n v="25"/>
    <x v="13"/>
  </r>
  <r>
    <s v="09/25/25"/>
    <x v="16"/>
    <n v="-283.219999999994"/>
    <n v="25"/>
    <x v="14"/>
  </r>
  <r>
    <s v="09/25/25"/>
    <x v="35"/>
    <n v="4000"/>
    <n v="25"/>
    <x v="14"/>
  </r>
  <r>
    <s v="09/25/25"/>
    <x v="2"/>
    <n v="4374.99"/>
    <n v="25"/>
    <x v="14"/>
  </r>
  <r>
    <s v="09/25/25"/>
    <x v="13"/>
    <n v="173.17"/>
    <n v="25"/>
    <x v="14"/>
  </r>
  <r>
    <s v="09/25/25"/>
    <x v="27"/>
    <n v="0.6"/>
    <n v="25"/>
    <x v="14"/>
  </r>
  <r>
    <s v="09/25/25"/>
    <x v="30"/>
    <n v="-2.98"/>
    <n v="25"/>
    <x v="14"/>
  </r>
  <r>
    <s v="09/25/25"/>
    <x v="11"/>
    <n v="500"/>
    <n v="25"/>
    <x v="14"/>
  </r>
  <r>
    <s v="09/25/25"/>
    <x v="15"/>
    <n v="1000"/>
    <n v="25"/>
    <x v="14"/>
  </r>
  <r>
    <s v="09/25/25"/>
    <x v="22"/>
    <n v="20"/>
    <n v="25"/>
    <x v="14"/>
  </r>
  <r>
    <s v="09/25/25"/>
    <x v="16"/>
    <n v="144.17999999999299"/>
    <n v="25"/>
    <x v="14"/>
  </r>
  <r>
    <s v="10/09/25"/>
    <x v="16"/>
    <n v="-144.17999999999299"/>
    <n v="25"/>
    <x v="15"/>
  </r>
  <r>
    <s v="10/09/25"/>
    <x v="35"/>
    <n v="4000"/>
    <n v="25"/>
    <x v="15"/>
  </r>
  <r>
    <s v="10/09/25"/>
    <x v="2"/>
    <n v="2163.1"/>
    <n v="25"/>
    <x v="15"/>
  </r>
  <r>
    <s v="10/09/25"/>
    <x v="40"/>
    <n v="500"/>
    <n v="25"/>
    <x v="15"/>
  </r>
  <r>
    <s v="10/09/25"/>
    <x v="22"/>
    <n v="10"/>
    <n v="25"/>
    <x v="15"/>
  </r>
  <r>
    <s v="10/09/25"/>
    <x v="4"/>
    <n v="1000"/>
    <n v="25"/>
    <x v="15"/>
  </r>
  <r>
    <s v="10/09/25"/>
    <x v="22"/>
    <n v="5"/>
    <n v="25"/>
    <x v="15"/>
  </r>
  <r>
    <s v="10/09/25"/>
    <x v="14"/>
    <n v="229"/>
    <n v="25"/>
    <x v="15"/>
  </r>
  <r>
    <s v="10/09/25"/>
    <x v="20"/>
    <n v="110"/>
    <n v="25"/>
    <x v="15"/>
  </r>
  <r>
    <s v="10/09/25"/>
    <x v="6"/>
    <n v="1510"/>
    <n v="25"/>
    <x v="15"/>
  </r>
  <r>
    <s v="10/09/25"/>
    <x v="4"/>
    <n v="500"/>
    <n v="25"/>
    <x v="15"/>
  </r>
  <r>
    <s v="10/09/25"/>
    <x v="6"/>
    <n v="1510"/>
    <n v="25"/>
    <x v="15"/>
  </r>
  <r>
    <s v="10/09/25"/>
    <x v="16"/>
    <n v="462.15999999999298"/>
    <n v="25"/>
    <x v="15"/>
  </r>
  <r>
    <s v="10/23/25"/>
    <x v="16"/>
    <n v="-462.15999999999298"/>
    <n v="25"/>
    <x v="16"/>
  </r>
  <r>
    <s v="10/23/25"/>
    <x v="35"/>
    <n v="4000"/>
    <n v="25"/>
    <x v="16"/>
  </r>
  <r>
    <s v="10/23/25"/>
    <x v="2"/>
    <n v="3498.14"/>
    <n v="25"/>
    <x v="16"/>
  </r>
  <r>
    <s v="10/23/25"/>
    <x v="32"/>
    <n v="600"/>
    <n v="25"/>
    <x v="16"/>
  </r>
  <r>
    <s v="10/23/25"/>
    <x v="22"/>
    <n v="5"/>
    <n v="25"/>
    <x v="16"/>
  </r>
  <r>
    <s v="10/23/25"/>
    <x v="3"/>
    <n v="1083.25"/>
    <n v="25"/>
    <x v="16"/>
  </r>
  <r>
    <s v="10/23/25"/>
    <x v="41"/>
    <n v="281.79000000000002"/>
    <n v="25"/>
    <x v="16"/>
  </r>
  <r>
    <s v="10/23/25"/>
    <x v="17"/>
    <n v="900"/>
    <n v="25"/>
    <x v="16"/>
  </r>
  <r>
    <s v="10/23/25"/>
    <x v="22"/>
    <n v="10"/>
    <n v="25"/>
    <x v="16"/>
  </r>
  <r>
    <s v="10/23/25"/>
    <x v="16"/>
    <n v="10.72"/>
    <n v="25"/>
    <x v="16"/>
  </r>
  <r>
    <s v="11/06/25"/>
    <x v="16"/>
    <n v="-10.72"/>
    <n v="25"/>
    <x v="17"/>
  </r>
  <r>
    <s v="11/06/25"/>
    <x v="35"/>
    <n v="4000"/>
    <n v="25"/>
    <x v="17"/>
  </r>
  <r>
    <s v="11/06/25"/>
    <x v="2"/>
    <n v="3119.03"/>
    <n v="25"/>
    <x v="17"/>
  </r>
  <r>
    <s v="11/06/25"/>
    <x v="38"/>
    <n v="1404.05"/>
    <n v="25"/>
    <x v="17"/>
  </r>
  <r>
    <s v="11/06/25"/>
    <x v="22"/>
    <n v="5"/>
    <n v="25"/>
    <x v="17"/>
  </r>
  <r>
    <s v="11/06/25"/>
    <x v="15"/>
    <n v="1000"/>
    <n v="25"/>
    <x v="17"/>
  </r>
  <r>
    <s v="11/06/25"/>
    <x v="5"/>
    <n v="18"/>
    <n v="25"/>
    <x v="17"/>
  </r>
  <r>
    <s v="11/06/25"/>
    <x v="14"/>
    <n v="232.44"/>
    <n v="25"/>
    <x v="17"/>
  </r>
  <r>
    <s v="11/06/25"/>
    <x v="15"/>
    <n v="250"/>
    <n v="25"/>
    <x v="17"/>
  </r>
  <r>
    <s v="11/06/25"/>
    <x v="20"/>
    <n v="170"/>
    <n v="25"/>
    <x v="17"/>
  </r>
  <r>
    <s v="11/06/25"/>
    <x v="25"/>
    <n v="190"/>
    <n v="25"/>
    <x v="17"/>
  </r>
  <r>
    <s v="11/06/25"/>
    <x v="16"/>
    <n v="62.27"/>
    <n v="25"/>
    <x v="17"/>
  </r>
  <r>
    <s v="11/20/25"/>
    <x v="16"/>
    <n v="-62.27"/>
    <n v="25"/>
    <x v="18"/>
  </r>
  <r>
    <s v="11/20/25"/>
    <x v="35"/>
    <n v="4000"/>
    <n v="25"/>
    <x v="18"/>
  </r>
  <r>
    <s v="11/20/25"/>
    <x v="2"/>
    <n v="3427.53"/>
    <n v="25"/>
    <x v="18"/>
  </r>
  <r>
    <s v="11/20/25"/>
    <x v="3"/>
    <n v="1702.04"/>
    <n v="25"/>
    <x v="18"/>
  </r>
  <r>
    <s v="11/20/25"/>
    <x v="15"/>
    <n v="500"/>
    <n v="25"/>
    <x v="18"/>
  </r>
  <r>
    <s v="11/20/25"/>
    <x v="42"/>
    <n v="673.17"/>
    <n v="25"/>
    <x v="18"/>
  </r>
  <r>
    <s v="11/20/25"/>
    <x v="22"/>
    <n v="5"/>
    <n v="25"/>
    <x v="18"/>
  </r>
  <r>
    <s v="11/20/25"/>
    <x v="6"/>
    <n v="616.83000000000004"/>
    <n v="25"/>
    <x v="18"/>
  </r>
  <r>
    <s v="11/20/25"/>
    <x v="22"/>
    <n v="10"/>
    <n v="25"/>
    <x v="18"/>
  </r>
  <r>
    <s v="11/20/25"/>
    <x v="15"/>
    <n v="510"/>
    <n v="25"/>
    <x v="18"/>
  </r>
  <r>
    <s v="11/20/25"/>
    <x v="15"/>
    <n v="1000"/>
    <n v="25"/>
    <x v="18"/>
  </r>
  <r>
    <s v="11/20/25"/>
    <x v="13"/>
    <n v="2000"/>
    <n v="25"/>
    <x v="18"/>
  </r>
  <r>
    <s v="11/20/25"/>
    <x v="16"/>
    <n v="151.280000000001"/>
    <n v="25"/>
    <x v="18"/>
  </r>
  <r>
    <s v="12/04/25"/>
    <x v="16"/>
    <n v="-151.280000000001"/>
    <n v="25"/>
    <x v="19"/>
  </r>
  <r>
    <s v="12/04/25"/>
    <x v="15"/>
    <n v="1010"/>
    <n v="25"/>
    <x v="19"/>
  </r>
  <r>
    <s v="12/04/25"/>
    <x v="39"/>
    <n v="114"/>
    <n v="25"/>
    <x v="19"/>
  </r>
  <r>
    <s v="12/04/25"/>
    <x v="15"/>
    <n v="250"/>
    <n v="25"/>
    <x v="19"/>
  </r>
  <r>
    <s v="12/04/25"/>
    <x v="20"/>
    <n v="220"/>
    <n v="25"/>
    <x v="19"/>
  </r>
  <r>
    <s v="12/04/25"/>
    <x v="2"/>
    <n v="3064.28"/>
    <n v="25"/>
    <x v="19"/>
  </r>
  <r>
    <s v="12/04/25"/>
    <x v="35"/>
    <n v="4000"/>
    <n v="25"/>
    <x v="19"/>
  </r>
  <r>
    <s v="12/04/25"/>
    <x v="22"/>
    <n v="10"/>
    <n v="25"/>
    <x v="19"/>
  </r>
  <r>
    <s v="12/04/25"/>
    <x v="43"/>
    <n v="100"/>
    <n v="25"/>
    <x v="19"/>
  </r>
  <r>
    <s v="12/04/25"/>
    <x v="14"/>
    <n v="232.44"/>
    <n v="25"/>
    <x v="19"/>
  </r>
  <r>
    <s v="12/04/25"/>
    <x v="15"/>
    <n v="600"/>
    <n v="25"/>
    <x v="19"/>
  </r>
  <r>
    <s v="12/04/25"/>
    <x v="15"/>
    <n v="1000"/>
    <n v="25"/>
    <x v="19"/>
  </r>
  <r>
    <s v="12/04/25"/>
    <x v="13"/>
    <n v="500"/>
    <n v="25"/>
    <x v="19"/>
  </r>
  <r>
    <s v="12/04/25"/>
    <x v="16"/>
    <n v="98.14"/>
    <n v="25"/>
    <x v="19"/>
  </r>
  <r>
    <s v="12/18/25"/>
    <x v="16"/>
    <n v="-98.14"/>
    <n v="25"/>
    <x v="20"/>
  </r>
  <r>
    <s v="12/18/25"/>
    <x v="20"/>
    <n v="190"/>
    <n v="25"/>
    <x v="20"/>
  </r>
  <r>
    <s v="12/18/25"/>
    <x v="20"/>
    <n v="150"/>
    <n v="25"/>
    <x v="20"/>
  </r>
  <r>
    <s v="12/18/25"/>
    <x v="35"/>
    <n v="4000"/>
    <n v="25"/>
    <x v="20"/>
  </r>
  <r>
    <s v="12/18/25"/>
    <x v="2"/>
    <n v="2878.25"/>
    <n v="25"/>
    <x v="20"/>
  </r>
  <r>
    <s v="12/18/25"/>
    <x v="3"/>
    <n v="276"/>
    <n v="25"/>
    <x v="20"/>
  </r>
  <r>
    <s v="12/18/25"/>
    <x v="41"/>
    <n v="281.79000000000002"/>
    <n v="25"/>
    <x v="20"/>
  </r>
  <r>
    <s v="12/18/25"/>
    <x v="42"/>
    <n v="673.15"/>
    <n v="25"/>
    <x v="20"/>
  </r>
  <r>
    <s v="12/18/25"/>
    <x v="22"/>
    <n v="5"/>
    <n v="25"/>
    <x v="20"/>
  </r>
  <r>
    <s v="12/18/25"/>
    <x v="15"/>
    <n v="1000"/>
    <n v="25"/>
    <x v="20"/>
  </r>
  <r>
    <s v="12/18/25"/>
    <x v="39"/>
    <n v="278"/>
    <n v="25"/>
    <x v="20"/>
  </r>
  <r>
    <s v="12/18/25"/>
    <x v="18"/>
    <n v="500"/>
    <n v="25"/>
    <x v="20"/>
  </r>
  <r>
    <s v="12/18/25"/>
    <x v="15"/>
    <n v="1000"/>
    <n v="25"/>
    <x v="20"/>
  </r>
  <r>
    <s v="12/18/25"/>
    <x v="15"/>
    <n v="500"/>
    <n v="25"/>
    <x v="20"/>
  </r>
  <r>
    <s v="12/18/25"/>
    <x v="32"/>
    <n v="500"/>
    <n v="25"/>
    <x v="20"/>
  </r>
  <r>
    <s v="12/18/25"/>
    <x v="44"/>
    <n v="500"/>
    <n v="25"/>
    <x v="20"/>
  </r>
  <r>
    <s v="12/18/25"/>
    <x v="15"/>
    <n v="500"/>
    <n v="25"/>
    <x v="20"/>
  </r>
  <r>
    <s v="12/18/25"/>
    <x v="13"/>
    <n v="1000"/>
    <n v="25"/>
    <x v="20"/>
  </r>
  <r>
    <s v="12/18/25"/>
    <x v="16"/>
    <n v="244.13000000000099"/>
    <n v="25"/>
    <x v="20"/>
  </r>
  <r>
    <s v="01/01/26"/>
    <x v="16"/>
    <n v="-244.13000000000099"/>
    <n v="26"/>
    <x v="21"/>
  </r>
  <r>
    <s v="01/01/26"/>
    <x v="35"/>
    <n v="4000"/>
    <n v="26"/>
    <x v="21"/>
  </r>
  <r>
    <s v="01/01/26"/>
    <x v="2"/>
    <n v="4000"/>
    <n v="26"/>
    <x v="21"/>
  </r>
  <r>
    <s v="01/01/26"/>
    <x v="22"/>
    <n v="10"/>
    <n v="26"/>
    <x v="21"/>
  </r>
  <r>
    <s v="01/01/26"/>
    <x v="30"/>
    <n v="-2.69"/>
    <n v="26"/>
    <x v="21"/>
  </r>
  <r>
    <s v="01/01/26"/>
    <x v="27"/>
    <n v="0.54"/>
    <n v="26"/>
    <x v="21"/>
  </r>
  <r>
    <s v="01/01/26"/>
    <x v="18"/>
    <n v="460"/>
    <n v="26"/>
    <x v="21"/>
  </r>
  <r>
    <s v="01/01/26"/>
    <x v="42"/>
    <n v="800"/>
    <n v="26"/>
    <x v="21"/>
  </r>
  <r>
    <s v="01/01/26"/>
    <x v="15"/>
    <n v="2010"/>
    <n v="26"/>
    <x v="21"/>
  </r>
  <r>
    <s v="01/01/26"/>
    <x v="19"/>
    <n v="809"/>
    <n v="26"/>
    <x v="21"/>
  </r>
  <r>
    <s v="01/01/26"/>
    <x v="45"/>
    <n v="345"/>
    <n v="26"/>
    <x v="21"/>
  </r>
  <r>
    <s v="01/01/26"/>
    <x v="19"/>
    <n v="100"/>
    <n v="26"/>
    <x v="21"/>
  </r>
  <r>
    <s v="01/01/26"/>
    <x v="13"/>
    <n v="1500"/>
    <n v="26"/>
    <x v="21"/>
  </r>
  <r>
    <s v="01/01/26"/>
    <x v="16"/>
    <n v="323.74"/>
    <n v="26"/>
    <x v="21"/>
  </r>
  <r>
    <s v="01/15/26"/>
    <x v="16"/>
    <n v="-323.74"/>
    <n v="26"/>
    <x v="22"/>
  </r>
  <r>
    <s v="01/15/26"/>
    <x v="14"/>
    <n v="232.44"/>
    <n v="26"/>
    <x v="22"/>
  </r>
  <r>
    <s v="01/15/26"/>
    <x v="16"/>
    <n v="-408.26"/>
    <n v="26"/>
    <x v="22"/>
  </r>
  <r>
    <s v="01/15/26"/>
    <x v="35"/>
    <n v="4000"/>
    <n v="26"/>
    <x v="22"/>
  </r>
  <r>
    <s v="01/15/26"/>
    <x v="2"/>
    <n v="8565.0499999999993"/>
    <n v="26"/>
    <x v="22"/>
  </r>
  <r>
    <s v="01/15/26"/>
    <x v="3"/>
    <n v="755.79"/>
    <n v="26"/>
    <x v="22"/>
  </r>
  <r>
    <s v="01/15/26"/>
    <x v="22"/>
    <n v="10"/>
    <n v="26"/>
    <x v="22"/>
  </r>
  <r>
    <s v="01/15/26"/>
    <x v="44"/>
    <n v="2500"/>
    <n v="26"/>
    <x v="22"/>
  </r>
  <r>
    <s v="01/15/26"/>
    <x v="8"/>
    <n v="138"/>
    <n v="26"/>
    <x v="22"/>
  </r>
  <r>
    <s v="01/15/26"/>
    <x v="25"/>
    <n v="158"/>
    <n v="26"/>
    <x v="22"/>
  </r>
  <r>
    <s v="01/15/26"/>
    <x v="25"/>
    <n v="190"/>
    <n v="26"/>
    <x v="22"/>
  </r>
  <r>
    <s v="01/15/26"/>
    <x v="6"/>
    <n v="1010"/>
    <n v="26"/>
    <x v="22"/>
  </r>
  <r>
    <s v="01/15/26"/>
    <x v="24"/>
    <n v="-1000"/>
    <n v="26"/>
    <x v="22"/>
  </r>
  <r>
    <s v="01/15/26"/>
    <x v="39"/>
    <n v="510"/>
    <n v="26"/>
    <x v="22"/>
  </r>
  <r>
    <s v="01/15/26"/>
    <x v="31"/>
    <n v="210"/>
    <n v="26"/>
    <x v="22"/>
  </r>
  <r>
    <s v="01/15/26"/>
    <x v="31"/>
    <n v="210"/>
    <n v="26"/>
    <x v="22"/>
  </r>
  <r>
    <s v="01/15/26"/>
    <x v="15"/>
    <n v="2610"/>
    <n v="26"/>
    <x v="22"/>
  </r>
  <r>
    <s v="01/15/26"/>
    <x v="44"/>
    <n v="1000"/>
    <n v="26"/>
    <x v="22"/>
  </r>
  <r>
    <s v="01/15/26"/>
    <x v="19"/>
    <n v="110"/>
    <n v="26"/>
    <x v="22"/>
  </r>
  <r>
    <s v="01/15/26"/>
    <x v="15"/>
    <n v="550"/>
    <n v="26"/>
    <x v="22"/>
  </r>
  <r>
    <s v="01/15/26"/>
    <x v="18"/>
    <n v="450"/>
    <n v="26"/>
    <x v="22"/>
  </r>
  <r>
    <s v="01/15/26"/>
    <x v="19"/>
    <n v="510"/>
    <n v="26"/>
    <x v="22"/>
  </r>
  <r>
    <s v="01/15/26"/>
    <x v="6"/>
    <n v="1010"/>
    <n v="26"/>
    <x v="22"/>
  </r>
  <r>
    <s v="01/15/26"/>
    <x v="44"/>
    <n v="1000"/>
    <n v="26"/>
    <x v="22"/>
  </r>
  <r>
    <s v="01/15/26"/>
    <x v="13"/>
    <n v="6000"/>
    <n v="26"/>
    <x v="22"/>
  </r>
  <r>
    <s v="01/15/26"/>
    <x v="16"/>
    <n v="416.13999999999902"/>
    <n v="26"/>
    <x v="22"/>
  </r>
  <r>
    <s v="01/15/26"/>
    <x v="24"/>
    <n v="-1400"/>
    <n v="26"/>
    <x v="22"/>
  </r>
  <r>
    <s v="01/15/26"/>
    <x v="13"/>
    <n v="1400"/>
    <n v="26"/>
    <x v="22"/>
  </r>
  <r>
    <s v="01/29/26"/>
    <x v="16"/>
    <n v="-416.13999999999902"/>
    <n v="26"/>
    <x v="23"/>
  </r>
  <r>
    <s v="01/29/26"/>
    <x v="35"/>
    <n v="4000"/>
    <n v="26"/>
    <x v="23"/>
  </r>
  <r>
    <s v="01/29/26"/>
    <x v="3"/>
    <n v="2387.4499999999998"/>
    <n v="26"/>
    <x v="23"/>
  </r>
  <r>
    <s v="01/29/26"/>
    <x v="2"/>
    <n v="150"/>
    <n v="26"/>
    <x v="23"/>
  </r>
  <r>
    <s v="01/29/26"/>
    <x v="15"/>
    <n v="1000"/>
    <n v="26"/>
    <x v="23"/>
  </r>
  <r>
    <s v="01/29/26"/>
    <x v="19"/>
    <n v="110"/>
    <n v="26"/>
    <x v="23"/>
  </r>
  <r>
    <s v="01/29/26"/>
    <x v="22"/>
    <n v="10"/>
    <n v="26"/>
    <x v="23"/>
  </r>
  <r>
    <s v="01/29/26"/>
    <x v="20"/>
    <n v="250"/>
    <n v="26"/>
    <x v="23"/>
  </r>
  <r>
    <s v="01/29/26"/>
    <x v="19"/>
    <n v="110"/>
    <n v="26"/>
    <x v="23"/>
  </r>
  <r>
    <s v="01/29/26"/>
    <x v="15"/>
    <n v="1180"/>
    <n v="26"/>
    <x v="23"/>
  </r>
  <r>
    <s v="01/29/26"/>
    <x v="14"/>
    <n v="232.44"/>
    <n v="26"/>
    <x v="23"/>
  </r>
  <r>
    <s v="01/29/26"/>
    <x v="13"/>
    <n v="2000"/>
    <n v="26"/>
    <x v="23"/>
  </r>
  <r>
    <s v="01/29/26"/>
    <x v="16"/>
    <n v="230.66"/>
    <n v="26"/>
    <x v="23"/>
  </r>
  <r>
    <s v="02/12/26"/>
    <x v="16"/>
    <n v="-230.66"/>
    <n v="26"/>
    <x v="24"/>
  </r>
  <r>
    <s v="02/12/26"/>
    <x v="2"/>
    <n v="3750.54"/>
    <n v="26"/>
    <x v="24"/>
  </r>
  <r>
    <s v="02/12/26"/>
    <x v="41"/>
    <n v="281.79000000000002"/>
    <n v="26"/>
    <x v="24"/>
  </r>
  <r>
    <s v="02/12/26"/>
    <x v="35"/>
    <n v="4000"/>
    <n v="26"/>
    <x v="24"/>
  </r>
  <r>
    <s v="02/12/26"/>
    <x v="15"/>
    <n v="1460"/>
    <n v="26"/>
    <x v="24"/>
  </r>
  <r>
    <s v="02/12/26"/>
    <x v="8"/>
    <n v="351"/>
    <n v="26"/>
    <x v="24"/>
  </r>
  <r>
    <s v="02/12/26"/>
    <x v="11"/>
    <n v="800"/>
    <n v="26"/>
    <x v="24"/>
  </r>
  <r>
    <s v="02/12/26"/>
    <x v="22"/>
    <n v="20"/>
    <n v="26"/>
    <x v="24"/>
  </r>
  <r>
    <s v="02/12/26"/>
    <x v="25"/>
    <n v="200"/>
    <n v="26"/>
    <x v="24"/>
  </r>
  <r>
    <s v="02/12/26"/>
    <x v="24"/>
    <n v="-100"/>
    <n v="26"/>
    <x v="24"/>
  </r>
  <r>
    <s v="02/12/26"/>
    <x v="15"/>
    <n v="1018"/>
    <n v="26"/>
    <x v="24"/>
  </r>
  <r>
    <s v="02/12/26"/>
    <x v="6"/>
    <n v="1010"/>
    <n v="26"/>
    <x v="24"/>
  </r>
  <r>
    <s v="02/12/26"/>
    <x v="15"/>
    <n v="42"/>
    <n v="26"/>
    <x v="24"/>
  </r>
  <r>
    <s v="02/12/26"/>
    <x v="15"/>
    <n v="1018"/>
    <n v="26"/>
    <x v="24"/>
  </r>
  <r>
    <s v="02/12/26"/>
    <x v="24"/>
    <n v="-1000"/>
    <n v="26"/>
    <x v="24"/>
  </r>
  <r>
    <s v="02/12/26"/>
    <x v="13"/>
    <n v="1000"/>
    <n v="26"/>
    <x v="24"/>
  </r>
  <r>
    <s v="02/12/26"/>
    <x v="16"/>
    <n v="166.99"/>
    <n v="26"/>
    <x v="24"/>
  </r>
  <r>
    <s v="02/26/26"/>
    <x v="16"/>
    <n v="-166.99"/>
    <n v="26"/>
    <x v="25"/>
  </r>
  <r>
    <s v="02/26/26"/>
    <x v="35"/>
    <n v="4000"/>
    <n v="26"/>
    <x v="25"/>
  </r>
  <r>
    <s v="02/26/26"/>
    <x v="15"/>
    <n v="1000"/>
    <n v="26"/>
    <x v="25"/>
  </r>
  <r>
    <s v="02/26/26"/>
    <x v="15"/>
    <n v="89"/>
    <n v="26"/>
    <x v="25"/>
  </r>
  <r>
    <s v="02/26/26"/>
    <x v="2"/>
    <n v="1330"/>
    <n v="26"/>
    <x v="25"/>
  </r>
  <r>
    <s v="02/26/26"/>
    <x v="45"/>
    <n v="2474.73"/>
    <n v="26"/>
    <x v="25"/>
  </r>
  <r>
    <s v="02/26/26"/>
    <x v="22"/>
    <n v="10"/>
    <n v="26"/>
    <x v="25"/>
  </r>
  <r>
    <s v="02/26/26"/>
    <x v="25"/>
    <n v="440"/>
    <n v="26"/>
    <x v="25"/>
  </r>
  <r>
    <s v="02/26/26"/>
    <x v="39"/>
    <n v="148"/>
    <n v="26"/>
    <x v="25"/>
  </r>
  <r>
    <s v="02/26/26"/>
    <x v="39"/>
    <n v="139"/>
    <n v="26"/>
    <x v="25"/>
  </r>
  <r>
    <s v="02/26/26"/>
    <x v="24"/>
    <n v="120"/>
    <n v="26"/>
    <x v="25"/>
  </r>
  <r>
    <s v="02/26/26"/>
    <x v="18"/>
    <n v="450"/>
    <n v="26"/>
    <x v="25"/>
  </r>
  <r>
    <s v="02/26/26"/>
    <x v="15"/>
    <n v="1010"/>
    <n v="26"/>
    <x v="25"/>
  </r>
  <r>
    <s v="02/26/26"/>
    <x v="20"/>
    <n v="200"/>
    <n v="26"/>
    <x v="25"/>
  </r>
  <r>
    <s v="02/26/26"/>
    <x v="15"/>
    <n v="1000"/>
    <n v="26"/>
    <x v="25"/>
  </r>
  <r>
    <s v="02/26/26"/>
    <x v="16"/>
    <n v="114"/>
    <n v="26"/>
    <x v="25"/>
  </r>
  <r>
    <s v="03/12/26"/>
    <x v="16"/>
    <n v="-114"/>
    <n v="26"/>
    <x v="26"/>
  </r>
  <r>
    <s v="03/12/26"/>
    <x v="35"/>
    <n v="4000"/>
    <n v="26"/>
    <x v="26"/>
  </r>
  <r>
    <s v="03/12/26"/>
    <x v="42"/>
    <n v="3007.69"/>
    <n v="26"/>
    <x v="26"/>
  </r>
  <r>
    <s v="03/12/26"/>
    <x v="3"/>
    <n v="1132.0899999999999"/>
    <n v="26"/>
    <x v="26"/>
  </r>
  <r>
    <s v="03/12/26"/>
    <x v="38"/>
    <n v="500"/>
    <n v="26"/>
    <x v="26"/>
  </r>
  <r>
    <s v="03/12/26"/>
    <x v="46"/>
    <n v="500"/>
    <n v="26"/>
    <x v="26"/>
  </r>
  <r>
    <s v="03/12/26"/>
    <x v="15"/>
    <n v="135"/>
    <n v="26"/>
    <x v="26"/>
  </r>
  <r>
    <s v="03/12/26"/>
    <x v="14"/>
    <n v="232.44"/>
    <n v="26"/>
    <x v="26"/>
  </r>
  <r>
    <s v="03/12/26"/>
    <x v="15"/>
    <n v="1018"/>
    <n v="26"/>
    <x v="26"/>
  </r>
  <r>
    <s v="03/12/26"/>
    <x v="22"/>
    <n v="10"/>
    <n v="26"/>
    <x v="26"/>
  </r>
  <r>
    <s v="03/12/26"/>
    <x v="25"/>
    <n v="215"/>
    <n v="26"/>
    <x v="26"/>
  </r>
  <r>
    <s v="03/12/26"/>
    <x v="15"/>
    <n v="1000"/>
    <n v="26"/>
    <x v="26"/>
  </r>
  <r>
    <s v="03/12/26"/>
    <x v="39"/>
    <n v="363"/>
    <n v="26"/>
    <x v="26"/>
  </r>
  <r>
    <s v="03/12/26"/>
    <x v="25"/>
    <n v="200"/>
    <n v="26"/>
    <x v="26"/>
  </r>
  <r>
    <s v="03/12/26"/>
    <x v="37"/>
    <n v="370"/>
    <n v="26"/>
    <x v="26"/>
  </r>
  <r>
    <s v="03/12/26"/>
    <x v="15"/>
    <n v="1000"/>
    <n v="26"/>
    <x v="26"/>
  </r>
  <r>
    <s v="03/12/26"/>
    <x v="13"/>
    <n v="1000"/>
    <n v="26"/>
    <x v="26"/>
  </r>
  <r>
    <s v="03/12/26"/>
    <x v="16"/>
    <n v="677.29999999999905"/>
    <n v="26"/>
    <x v="26"/>
  </r>
  <r>
    <s v="03/26/26"/>
    <x v="16"/>
    <n v="-677.29999999999905"/>
    <n v="26"/>
    <x v="27"/>
  </r>
  <r>
    <s v="03/26/26"/>
    <x v="35"/>
    <n v="4000"/>
    <n v="26"/>
    <x v="27"/>
  </r>
  <r>
    <s v="03/26/26"/>
    <x v="2"/>
    <n v="1330"/>
    <n v="26"/>
    <x v="27"/>
  </r>
  <r>
    <s v="03/26/26"/>
    <x v="3"/>
    <n v="2000"/>
    <n v="26"/>
    <x v="27"/>
  </r>
  <r>
    <s v="03/26/26"/>
    <x v="20"/>
    <n v="270"/>
    <n v="26"/>
    <x v="27"/>
  </r>
  <r>
    <s v="03/26/26"/>
    <x v="8"/>
    <n v="100"/>
    <n v="26"/>
    <x v="27"/>
  </r>
  <r>
    <s v="03/26/26"/>
    <x v="44"/>
    <n v="560"/>
    <n v="26"/>
    <x v="27"/>
  </r>
  <r>
    <s v="03/26/26"/>
    <x v="37"/>
    <n v="300"/>
    <n v="26"/>
    <x v="27"/>
  </r>
  <r>
    <s v="03/26/26"/>
    <x v="15"/>
    <n v="900"/>
    <n v="26"/>
    <x v="27"/>
  </r>
  <r>
    <s v="03/26/26"/>
    <x v="37"/>
    <n v="192"/>
    <n v="26"/>
    <x v="27"/>
  </r>
  <r>
    <s v="03/26/26"/>
    <x v="22"/>
    <n v="20"/>
    <n v="26"/>
    <x v="27"/>
  </r>
  <r>
    <s v="03/26/26"/>
    <x v="27"/>
    <n v="0.26"/>
    <n v="26"/>
    <x v="27"/>
  </r>
  <r>
    <s v="03/26/26"/>
    <x v="30"/>
    <n v="-1.28"/>
    <n v="26"/>
    <x v="27"/>
  </r>
  <r>
    <s v="03/26/26"/>
    <x v="44"/>
    <n v="1000"/>
    <n v="26"/>
    <x v="27"/>
  </r>
  <r>
    <s v="03/26/26"/>
    <x v="46"/>
    <n v="510"/>
    <n v="26"/>
    <x v="27"/>
  </r>
  <r>
    <s v="03/26/26"/>
    <x v="15"/>
    <n v="1500"/>
    <n v="26"/>
    <x v="27"/>
  </r>
  <r>
    <s v="03/26/26"/>
    <x v="16"/>
    <n v="358.65"/>
    <n v="26"/>
    <x v="27"/>
  </r>
  <r>
    <s v="04/09/26"/>
    <x v="16"/>
    <n v="-358.65"/>
    <n v="26"/>
    <x v="28"/>
  </r>
  <r>
    <s v="04/09/26"/>
    <x v="35"/>
    <n v="4000"/>
    <n v="26"/>
    <x v="28"/>
  </r>
  <r>
    <s v="04/09/26"/>
    <x v="3"/>
    <n v="6324.79"/>
    <n v="26"/>
    <x v="28"/>
  </r>
  <r>
    <s v="04/09/26"/>
    <x v="2"/>
    <n v="1731.95"/>
    <n v="26"/>
    <x v="28"/>
  </r>
  <r>
    <s v="04/09/26"/>
    <x v="22"/>
    <n v="10"/>
    <n v="26"/>
    <x v="28"/>
  </r>
  <r>
    <s v="04/09/26"/>
    <x v="15"/>
    <n v="1500"/>
    <n v="26"/>
    <x v="28"/>
  </r>
  <r>
    <s v="04/09/26"/>
    <x v="37"/>
    <n v="300"/>
    <n v="26"/>
    <x v="28"/>
  </r>
  <r>
    <s v="04/09/26"/>
    <x v="37"/>
    <n v="222"/>
    <n v="26"/>
    <x v="28"/>
  </r>
  <r>
    <s v="04/09/26"/>
    <x v="14"/>
    <n v="232.44"/>
    <n v="26"/>
    <x v="28"/>
  </r>
  <r>
    <s v="04/09/26"/>
    <x v="37"/>
    <n v="120"/>
    <n v="26"/>
    <x v="28"/>
  </r>
  <r>
    <s v="04/09/26"/>
    <x v="17"/>
    <n v="-1000"/>
    <n v="26"/>
    <x v="28"/>
  </r>
  <r>
    <s v="04/09/26"/>
    <x v="15"/>
    <n v="2000"/>
    <n v="26"/>
    <x v="28"/>
  </r>
  <r>
    <s v="04/09/26"/>
    <x v="16"/>
    <n v="163.99"/>
    <n v="26"/>
    <x v="28"/>
  </r>
  <r>
    <s v="04/23/26"/>
    <x v="16"/>
    <n v="-163.99"/>
    <n v="26"/>
    <x v="29"/>
  </r>
  <r>
    <s v="04/23/26"/>
    <x v="35"/>
    <n v="4000"/>
    <n v="26"/>
    <x v="29"/>
  </r>
  <r>
    <s v="04/23/26"/>
    <x v="3"/>
    <n v="1182.5"/>
    <n v="26"/>
    <x v="29"/>
  </r>
  <r>
    <s v="04/23/26"/>
    <x v="47"/>
    <n v="1426.29"/>
    <n v="26"/>
    <x v="29"/>
  </r>
  <r>
    <s v="04/23/26"/>
    <x v="2"/>
    <n v="3948"/>
    <n v="26"/>
    <x v="29"/>
  </r>
  <r>
    <s v="04/23/26"/>
    <x v="45"/>
    <n v="1000"/>
    <n v="26"/>
    <x v="29"/>
  </r>
  <r>
    <s v="04/23/26"/>
    <x v="31"/>
    <n v="1000"/>
    <n v="26"/>
    <x v="29"/>
  </r>
  <r>
    <s v="04/23/26"/>
    <x v="24"/>
    <n v="1000"/>
    <n v="26"/>
    <x v="29"/>
  </r>
  <r>
    <s v="04/23/26"/>
    <x v="18"/>
    <n v="460"/>
    <n v="26"/>
    <x v="29"/>
  </r>
  <r>
    <s v="04/23/26"/>
    <x v="22"/>
    <n v="10"/>
    <n v="26"/>
    <x v="29"/>
  </r>
  <r>
    <s v="04/23/26"/>
    <x v="25"/>
    <n v="225"/>
    <n v="26"/>
    <x v="29"/>
  </r>
  <r>
    <s v="04/23/26"/>
    <x v="45"/>
    <n v="500"/>
    <n v="26"/>
    <x v="29"/>
  </r>
  <r>
    <s v="04/23/26"/>
    <x v="15"/>
    <n v="1000"/>
    <n v="26"/>
    <x v="29"/>
  </r>
  <r>
    <s v="04/23/26"/>
    <x v="15"/>
    <n v="510"/>
    <n v="26"/>
    <x v="29"/>
  </r>
  <r>
    <s v="04/23/26"/>
    <x v="5"/>
    <n v="18"/>
    <n v="26"/>
    <x v="29"/>
  </r>
  <r>
    <s v="04/23/26"/>
    <x v="22"/>
    <n v="10"/>
    <n v="26"/>
    <x v="29"/>
  </r>
  <r>
    <s v="04/23/26"/>
    <x v="5"/>
    <n v="36"/>
    <n v="26"/>
    <x v="29"/>
  </r>
  <r>
    <s v="04/23/26"/>
    <x v="17"/>
    <n v="100"/>
    <n v="26"/>
    <x v="29"/>
  </r>
  <r>
    <s v="04/23/26"/>
    <x v="13"/>
    <n v="1000"/>
    <n v="26"/>
    <x v="29"/>
  </r>
  <r>
    <s v="04/23/26"/>
    <x v="16"/>
    <n v="187.45000000000101"/>
    <n v="26"/>
    <x v="29"/>
  </r>
  <r>
    <s v="05/07/26"/>
    <x v="16"/>
    <n v="-187.45000000000101"/>
    <n v="26"/>
    <x v="30"/>
  </r>
  <r>
    <s v="05/07/26"/>
    <x v="16"/>
    <n v="-34.930000000000298"/>
    <n v="26"/>
    <x v="30"/>
  </r>
  <r>
    <s v="05/07/26"/>
    <x v="25"/>
    <n v="1000"/>
    <n v="26"/>
    <x v="30"/>
  </r>
  <r>
    <s v="05/07/26"/>
    <x v="35"/>
    <n v="4000"/>
    <n v="26"/>
    <x v="30"/>
  </r>
  <r>
    <s v="05/07/26"/>
    <x v="2"/>
    <n v="5328.34"/>
    <n v="26"/>
    <x v="30"/>
  </r>
  <r>
    <s v="05/07/26"/>
    <x v="3"/>
    <n v="187"/>
    <n v="26"/>
    <x v="30"/>
  </r>
  <r>
    <s v="05/07/26"/>
    <x v="22"/>
    <n v="10"/>
    <n v="26"/>
    <x v="30"/>
  </r>
  <r>
    <s v="05/07/26"/>
    <x v="15"/>
    <n v="1010"/>
    <n v="26"/>
    <x v="30"/>
  </r>
  <r>
    <s v="05/07/26"/>
    <x v="37"/>
    <n v="120"/>
    <n v="26"/>
    <x v="30"/>
  </r>
  <r>
    <s v="05/07/26"/>
    <x v="14"/>
    <n v="232.44"/>
    <n v="26"/>
    <x v="30"/>
  </r>
  <r>
    <s v="05/07/26"/>
    <x v="45"/>
    <n v="1000"/>
    <n v="26"/>
    <x v="30"/>
  </r>
  <r>
    <s v="05/07/26"/>
    <x v="16"/>
    <n v="447.45000000000402"/>
    <n v="26"/>
    <x v="30"/>
  </r>
  <r>
    <s v="Maya"/>
    <x v="6"/>
    <n v="6000"/>
    <s v="99 - "/>
    <x v="31"/>
  </r>
  <r>
    <s v="Maya"/>
    <x v="6"/>
    <n v="5000"/>
    <s v="99 - "/>
    <x v="31"/>
  </r>
  <r>
    <s v="Maya"/>
    <x v="48"/>
    <n v="3093.02"/>
    <s v="99 - "/>
    <x v="31"/>
  </r>
  <r>
    <s v="Maya"/>
    <x v="49"/>
    <n v="-3093.02"/>
    <s v="99 - "/>
    <x v="31"/>
  </r>
  <r>
    <s v="Maya"/>
    <x v="13"/>
    <n v="-2000"/>
    <s v="99 - "/>
    <x v="31"/>
  </r>
  <r>
    <s v="Maya"/>
    <x v="13"/>
    <n v="-2100"/>
    <s v="99 - "/>
    <x v="31"/>
  </r>
  <r>
    <s v="Maya"/>
    <x v="13"/>
    <n v="-5000"/>
    <s v="99 - "/>
    <x v="31"/>
  </r>
  <r>
    <s v="Maya"/>
    <x v="24"/>
    <n v="-2000"/>
    <s v="99 - "/>
    <x v="31"/>
  </r>
  <r>
    <s v="Maya"/>
    <x v="13"/>
    <n v="-3000"/>
    <s v="99 - "/>
    <x v="31"/>
  </r>
  <r>
    <s v="Maya"/>
    <x v="13"/>
    <n v="-5000"/>
    <s v="99 - "/>
    <x v="31"/>
  </r>
  <r>
    <s v="Maya"/>
    <x v="13"/>
    <n v="-3000"/>
    <s v="99 - "/>
    <x v="31"/>
  </r>
  <r>
    <s v="Maya"/>
    <x v="13"/>
    <n v="-2000"/>
    <s v="99 - "/>
    <x v="31"/>
  </r>
  <r>
    <s v="Maya"/>
    <x v="24"/>
    <n v="-1000"/>
    <s v="99 - "/>
    <x v="31"/>
  </r>
  <r>
    <s v="Maya"/>
    <x v="13"/>
    <n v="-2000"/>
    <s v="99 - "/>
    <x v="31"/>
  </r>
  <r>
    <s v="Maya"/>
    <x v="13"/>
    <n v="-2500"/>
    <s v="99 - "/>
    <x v="31"/>
  </r>
  <r>
    <s v="Maya"/>
    <x v="13"/>
    <n v="-2000"/>
    <s v="99 - "/>
    <x v="31"/>
  </r>
  <r>
    <s v="Maya"/>
    <x v="6"/>
    <n v="14000"/>
    <s v="99 - "/>
    <x v="31"/>
  </r>
  <r>
    <s v="Maya"/>
    <x v="6"/>
    <n v="6500"/>
    <s v="99 - "/>
    <x v="31"/>
  </r>
  <r>
    <s v="Maya"/>
    <x v="6"/>
    <n v="2000"/>
    <s v="99 - "/>
    <x v="31"/>
  </r>
  <r>
    <s v="Maya"/>
    <x v="42"/>
    <n v="20000"/>
    <s v="99 - "/>
    <x v="31"/>
  </r>
  <r>
    <s v="Maya"/>
    <x v="42"/>
    <n v="1000"/>
    <s v="99 - "/>
    <x v="31"/>
  </r>
  <r>
    <s v="ESPP Expenses 2"/>
    <x v="50"/>
    <n v="355"/>
    <s v="99 - "/>
    <x v="32"/>
  </r>
  <r>
    <s v="ESPP Expenses 2"/>
    <x v="50"/>
    <n v="567"/>
    <s v="99 - "/>
    <x v="32"/>
  </r>
  <r>
    <s v="ESPP Expenses 2"/>
    <x v="35"/>
    <n v="30000"/>
    <s v="99 - "/>
    <x v="32"/>
  </r>
  <r>
    <s v="ESPP Expenses 2"/>
    <x v="35"/>
    <n v="15000"/>
    <s v="99 - "/>
    <x v="32"/>
  </r>
  <r>
    <s v="ESPP Expenses 2"/>
    <x v="51"/>
    <n v="2500"/>
    <s v="99 - "/>
    <x v="32"/>
  </r>
  <r>
    <s v="ESPP Expenses 2"/>
    <x v="15"/>
    <n v="500"/>
    <s v="99 - "/>
    <x v="32"/>
  </r>
  <r>
    <s v="ESPP Expenses 2"/>
    <x v="31"/>
    <n v="1000"/>
    <s v="99 - "/>
    <x v="32"/>
  </r>
  <r>
    <s v="ESPP Expenses 2"/>
    <x v="31"/>
    <n v="500"/>
    <s v="99 - "/>
    <x v="32"/>
  </r>
  <r>
    <s v="ESPP Expenses 2"/>
    <x v="31"/>
    <n v="500"/>
    <s v="99 - "/>
    <x v="32"/>
  </r>
  <r>
    <s v="ESPP Expenses 2"/>
    <x v="35"/>
    <n v="5000"/>
    <s v="99 - "/>
    <x v="32"/>
  </r>
  <r>
    <s v="ESPP Expenses 2"/>
    <x v="35"/>
    <n v="30010"/>
    <s v="99 - "/>
    <x v="32"/>
  </r>
  <r>
    <s v="ESPP Expenses 2"/>
    <x v="2"/>
    <n v="1507"/>
    <s v="99 - "/>
    <x v="32"/>
  </r>
  <r>
    <s v="ESPP Expenses 2"/>
    <x v="2"/>
    <n v="5"/>
    <s v="99 - "/>
    <x v="32"/>
  </r>
  <r>
    <s v="ESPP Expenses 2"/>
    <x v="35"/>
    <n v="10000"/>
    <s v="99 - "/>
    <x v="32"/>
  </r>
  <r>
    <s v="ESPP Expenses 2"/>
    <x v="5"/>
    <n v="18"/>
    <s v="99 - "/>
    <x v="32"/>
  </r>
  <r>
    <s v="ESPP Expenses 2"/>
    <x v="4"/>
    <n v="250"/>
    <s v="99 - "/>
    <x v="32"/>
  </r>
  <r>
    <s v="ESPP Expenses 2"/>
    <x v="50"/>
    <n v="500"/>
    <s v="99 - "/>
    <x v="32"/>
  </r>
  <r>
    <s v="ESPP Expenses 2"/>
    <x v="17"/>
    <n v="100"/>
    <s v="99 - "/>
    <x v="32"/>
  </r>
  <r>
    <s v="ESPP Expenses 2"/>
    <x v="22"/>
    <n v="5"/>
    <s v="99 - "/>
    <x v="32"/>
  </r>
  <r>
    <s v="ESPP Expenses 2"/>
    <x v="35"/>
    <n v="8927.58"/>
    <s v="99 - "/>
    <x v="32"/>
  </r>
  <r>
    <s v="ESPP Expenses 2"/>
    <x v="22"/>
    <n v="10"/>
    <s v="99 - "/>
    <x v="32"/>
  </r>
  <r>
    <s v="ESPP Expenses 2"/>
    <x v="6"/>
    <n v="1505"/>
    <s v="99 - "/>
    <x v="32"/>
  </r>
  <r>
    <s v="ESPP Expenses 2"/>
    <x v="6"/>
    <n v="1005"/>
    <s v="99 - "/>
    <x v="32"/>
  </r>
  <r>
    <s v="ESPP Expenses 2"/>
    <x v="24"/>
    <n v="-2500"/>
    <s v="99 - "/>
    <x v="32"/>
  </r>
  <r>
    <s v="ESPP Expenses 2"/>
    <x v="13"/>
    <n v="2500"/>
    <s v="99 - "/>
    <x v="32"/>
  </r>
  <r>
    <s v="ESPP Expenses 2"/>
    <x v="16"/>
    <n v="611.00999999999499"/>
    <s v="99 - "/>
    <x v="32"/>
  </r>
  <r>
    <s v="13thFY25"/>
    <x v="44"/>
    <n v="1000"/>
    <s v="99 - "/>
    <x v="33"/>
  </r>
  <r>
    <s v="13thFY25"/>
    <x v="22"/>
    <n v="10"/>
    <s v="99 - "/>
    <x v="33"/>
  </r>
  <r>
    <s v="13thFY25"/>
    <x v="6"/>
    <n v="6010"/>
    <s v="99 - "/>
    <x v="33"/>
  </r>
  <r>
    <s v="13thFY25"/>
    <x v="6"/>
    <n v="1520"/>
    <s v="99 - "/>
    <x v="33"/>
  </r>
  <r>
    <s v="13thFY25"/>
    <x v="42"/>
    <n v="2500"/>
    <s v="99 - "/>
    <x v="33"/>
  </r>
  <r>
    <s v="13thFY25"/>
    <x v="6"/>
    <n v="3010"/>
    <s v="99 - "/>
    <x v="33"/>
  </r>
  <r>
    <s v="13thFY25"/>
    <x v="24"/>
    <n v="-6000"/>
    <s v="99 - "/>
    <x v="33"/>
  </r>
  <r>
    <s v="13thFY25"/>
    <x v="13"/>
    <n v="6000"/>
    <s v="99 - "/>
    <x v="33"/>
  </r>
  <r>
    <s v="13thFY25"/>
    <x v="31"/>
    <n v="800"/>
    <s v="99 - "/>
    <x v="33"/>
  </r>
  <r>
    <s v="13thFY25"/>
    <x v="44"/>
    <n v="510"/>
    <s v="99 - "/>
    <x v="33"/>
  </r>
  <r>
    <s v="13thFY25"/>
    <x v="24"/>
    <n v="-4500"/>
    <s v="99 - "/>
    <x v="33"/>
  </r>
  <r>
    <s v="13thFY25"/>
    <x v="13"/>
    <n v="4500"/>
    <s v="99 - "/>
    <x v="33"/>
  </r>
  <r>
    <s v="13thFY25"/>
    <x v="6"/>
    <n v="3010"/>
    <s v="99 - "/>
    <x v="33"/>
  </r>
  <r>
    <s v="13thFY25"/>
    <x v="24"/>
    <n v="-3000"/>
    <s v="99 - "/>
    <x v="33"/>
  </r>
  <r>
    <s v="13thFY25"/>
    <x v="13"/>
    <n v="3000"/>
    <s v="99 - "/>
    <x v="33"/>
  </r>
  <r>
    <s v="13thFY25"/>
    <x v="6"/>
    <n v="3510"/>
    <s v="99 - "/>
    <x v="33"/>
  </r>
  <r>
    <s v="13thFY25"/>
    <x v="24"/>
    <n v="-3500"/>
    <s v="99 - "/>
    <x v="33"/>
  </r>
  <r>
    <s v="13thFY25"/>
    <x v="13"/>
    <n v="3500"/>
    <s v="99 - "/>
    <x v="33"/>
  </r>
  <r>
    <s v="13thFY25"/>
    <x v="31"/>
    <n v="100"/>
    <s v="99 - "/>
    <x v="33"/>
  </r>
  <r>
    <s v="13thFY25"/>
    <x v="31"/>
    <n v="400"/>
    <s v="99 - "/>
    <x v="33"/>
  </r>
  <r>
    <s v="13thFY25"/>
    <x v="6"/>
    <n v="1000"/>
    <s v="99 - "/>
    <x v="33"/>
  </r>
  <r>
    <s v="13thFY25"/>
    <x v="26"/>
    <n v="2510"/>
    <s v="99 - "/>
    <x v="33"/>
  </r>
  <r>
    <s v="13thFY25"/>
    <x v="13"/>
    <n v="2000"/>
    <s v="99 - "/>
    <x v="33"/>
  </r>
  <r>
    <s v="13thFY25"/>
    <x v="16"/>
    <n v="41.42"/>
    <s v="99 - "/>
    <x v="33"/>
  </r>
  <r>
    <s v="13thFY25"/>
    <x v="13"/>
    <n v="2500"/>
    <s v="99 - "/>
    <x v="33"/>
  </r>
  <r>
    <s v="13thFY25"/>
    <x v="24"/>
    <n v="-2000"/>
    <s v="99 - "/>
    <x v="33"/>
  </r>
  <r>
    <s v="13thFY25"/>
    <x v="13"/>
    <n v="2000"/>
    <s v="99 - "/>
    <x v="33"/>
  </r>
  <r>
    <s v="Corp34Q25"/>
    <x v="52"/>
    <n v="1195"/>
    <s v="99 - "/>
    <x v="34"/>
  </r>
  <r>
    <s v="Corp34Q25"/>
    <x v="11"/>
    <n v="860"/>
    <s v="99 - "/>
    <x v="34"/>
  </r>
  <r>
    <s v="Corp34Q25"/>
    <x v="31"/>
    <n v="610"/>
    <s v="99 - "/>
    <x v="34"/>
  </r>
  <r>
    <s v="Corp34Q25"/>
    <x v="24"/>
    <n v="400"/>
    <s v="99 - "/>
    <x v="34"/>
  </r>
  <r>
    <s v="Corp34Q25"/>
    <x v="31"/>
    <n v="2580"/>
    <s v="99 - "/>
    <x v="34"/>
  </r>
  <r>
    <s v="Corp34Q25"/>
    <x v="37"/>
    <n v="370"/>
    <s v="99 - "/>
    <x v="34"/>
  </r>
  <r>
    <s v="Corp34Q25"/>
    <x v="31"/>
    <n v="300"/>
    <s v="99 - "/>
    <x v="34"/>
  </r>
  <r>
    <s v="Corp34Q25"/>
    <x v="31"/>
    <n v="1000"/>
    <s v="99 - "/>
    <x v="34"/>
  </r>
  <r>
    <s v="Corp34Q25"/>
    <x v="31"/>
    <n v="500"/>
    <s v="99 - "/>
    <x v="34"/>
  </r>
  <r>
    <s v="Corp34Q25"/>
    <x v="31"/>
    <n v="1010"/>
    <s v="99 - "/>
    <x v="34"/>
  </r>
  <r>
    <s v="Corp34Q25"/>
    <x v="4"/>
    <n v="11000"/>
    <s v="99 - "/>
    <x v="34"/>
  </r>
  <r>
    <s v="Corp34Q25"/>
    <x v="31"/>
    <n v="200"/>
    <s v="99 - "/>
    <x v="34"/>
  </r>
  <r>
    <s v="Corp34Q25"/>
    <x v="24"/>
    <n v="-11000"/>
    <s v="99 - "/>
    <x v="34"/>
  </r>
  <r>
    <s v="Corp34Q25"/>
    <x v="13"/>
    <n v="10000"/>
    <s v="99 - "/>
    <x v="34"/>
  </r>
  <r>
    <s v="Corp34Q25"/>
    <x v="16"/>
    <n v="366.84"/>
    <s v="99 - "/>
    <x v="34"/>
  </r>
  <r>
    <s v="13.5 Month 2026"/>
    <x v="17"/>
    <n v="1000"/>
    <s v="99 - "/>
    <x v="35"/>
  </r>
  <r>
    <s v="13.5 Month 2026"/>
    <x v="31"/>
    <n v="1000"/>
    <s v="99 - "/>
    <x v="35"/>
  </r>
  <r>
    <s v="13.5 Month 2026"/>
    <x v="53"/>
    <n v="2000"/>
    <s v="99 - "/>
    <x v="35"/>
  </r>
  <r>
    <s v="13.5 Month 2026"/>
    <x v="44"/>
    <n v="1422.93"/>
    <s v="99 - "/>
    <x v="35"/>
  </r>
  <r>
    <s v="13.5 Month 2026"/>
    <x v="45"/>
    <n v="1500"/>
    <s v="99 - "/>
    <x v="35"/>
  </r>
  <r>
    <s v="13.5 Month 2026"/>
    <x v="42"/>
    <n v="1500"/>
    <s v="99 - "/>
    <x v="35"/>
  </r>
  <r>
    <s v="13.5 Month 2026"/>
    <x v="17"/>
    <n v="-100"/>
    <s v="99 - "/>
    <x v="35"/>
  </r>
  <r>
    <s v="13.5 Month 2026"/>
    <x v="25"/>
    <n v="500"/>
    <s v="99 - "/>
    <x v="35"/>
  </r>
  <r>
    <s v="13.5 Month 2026"/>
    <x v="13"/>
    <n v="8000"/>
    <s v="99 - "/>
    <x v="35"/>
  </r>
  <r>
    <s v="13.5 Month 2026"/>
    <x v="16"/>
    <n v="34.930000000000298"/>
    <s v="99 - "/>
    <x v="35"/>
  </r>
  <r>
    <s v="ESPP1"/>
    <x v="54"/>
    <n v="4596.83"/>
    <s v="99 - "/>
    <x v="36"/>
  </r>
  <r>
    <s v="ESPP1"/>
    <x v="55"/>
    <n v="5100.5200000000004"/>
    <s v="99 - "/>
    <x v="36"/>
  </r>
  <r>
    <s v="ESPP1"/>
    <x v="2"/>
    <n v="3514.08"/>
    <s v="99 - "/>
    <x v="36"/>
  </r>
  <r>
    <s v="ESPP1"/>
    <x v="56"/>
    <n v="5249.83"/>
    <s v="99 - "/>
    <x v="36"/>
  </r>
  <r>
    <s v="ESPP1"/>
    <x v="56"/>
    <n v="3377.15"/>
    <s v="99 - "/>
    <x v="36"/>
  </r>
  <r>
    <s v="ESPP1"/>
    <x v="57"/>
    <n v="1560"/>
    <s v="99 - "/>
    <x v="36"/>
  </r>
  <r>
    <s v="ESPP1"/>
    <x v="8"/>
    <n v="233"/>
    <s v="99 - "/>
    <x v="36"/>
  </r>
  <r>
    <s v="ESPP1"/>
    <x v="48"/>
    <n v="769"/>
    <s v="99 - "/>
    <x v="36"/>
  </r>
  <r>
    <s v="ESPP1"/>
    <x v="17"/>
    <n v="3132"/>
    <s v="99 - "/>
    <x v="36"/>
  </r>
  <r>
    <s v="ESPP1"/>
    <x v="17"/>
    <n v="5005"/>
    <s v="99 - "/>
    <x v="36"/>
  </r>
  <r>
    <s v="ESPP1"/>
    <x v="4"/>
    <n v="505"/>
    <s v="99 - "/>
    <x v="36"/>
  </r>
  <r>
    <s v="ESPP1"/>
    <x v="58"/>
    <n v="610"/>
    <s v="99 - "/>
    <x v="36"/>
  </r>
  <r>
    <s v="ESPP1"/>
    <x v="4"/>
    <n v="2000"/>
    <s v="99 - "/>
    <x v="36"/>
  </r>
  <r>
    <s v="ESPP1"/>
    <x v="59"/>
    <n v="900"/>
    <s v="99 - "/>
    <x v="36"/>
  </r>
  <r>
    <s v="ESPP1"/>
    <x v="60"/>
    <n v="704"/>
    <s v="99 - "/>
    <x v="36"/>
  </r>
  <r>
    <s v="ESPP1"/>
    <x v="8"/>
    <n v="110"/>
    <s v="99 - "/>
    <x v="36"/>
  </r>
  <r>
    <s v="ESPP1"/>
    <x v="61"/>
    <n v="1207.8"/>
    <s v="99 - "/>
    <x v="36"/>
  </r>
  <r>
    <s v="ESPP1"/>
    <x v="62"/>
    <n v="1621"/>
    <s v="99 - "/>
    <x v="36"/>
  </r>
  <r>
    <s v="ESPP1"/>
    <x v="63"/>
    <n v="5950"/>
    <s v="99 - "/>
    <x v="36"/>
  </r>
  <r>
    <s v="ESPP1"/>
    <x v="17"/>
    <n v="5.2"/>
    <s v="99 - "/>
    <x v="36"/>
  </r>
  <r>
    <s v="ESPP1"/>
    <x v="64"/>
    <n v="700"/>
    <s v="99 - "/>
    <x v="36"/>
  </r>
  <r>
    <s v="ESPP1"/>
    <x v="65"/>
    <n v="1000"/>
    <s v="99 - "/>
    <x v="36"/>
  </r>
  <r>
    <s v="ESPP1"/>
    <x v="66"/>
    <n v="1029.3800000000001"/>
    <s v="99 - "/>
    <x v="36"/>
  </r>
  <r>
    <s v="ESPP1"/>
    <x v="67"/>
    <n v="1399.73"/>
    <s v="99 - "/>
    <x v="36"/>
  </r>
  <r>
    <s v="ESPP1"/>
    <x v="4"/>
    <n v="2000"/>
    <s v="99 - "/>
    <x v="36"/>
  </r>
  <r>
    <s v="ESPP1"/>
    <x v="6"/>
    <n v="2005"/>
    <s v="99 - "/>
    <x v="36"/>
  </r>
  <r>
    <s v="ESPP1"/>
    <x v="68"/>
    <n v="660"/>
    <s v="99 - "/>
    <x v="36"/>
  </r>
  <r>
    <s v="ESPP1"/>
    <x v="65"/>
    <n v="4800"/>
    <s v="99 - "/>
    <x v="36"/>
  </r>
  <r>
    <s v="ESPP1"/>
    <x v="4"/>
    <n v="1000"/>
    <s v="99 - "/>
    <x v="36"/>
  </r>
  <r>
    <s v="ESPP1"/>
    <x v="60"/>
    <n v="704"/>
    <s v="99 - "/>
    <x v="36"/>
  </r>
  <r>
    <s v="ESPP1"/>
    <x v="4"/>
    <n v="1000"/>
    <s v="99 - "/>
    <x v="36"/>
  </r>
  <r>
    <s v="ESPP1"/>
    <x v="69"/>
    <n v="320"/>
    <s v="99 - "/>
    <x v="36"/>
  </r>
  <r>
    <s v="ESPP1"/>
    <x v="3"/>
    <n v="1083.25"/>
    <s v="99 - "/>
    <x v="36"/>
  </r>
  <r>
    <s v="ESPP1"/>
    <x v="26"/>
    <n v="1500"/>
    <s v="99 - "/>
    <x v="36"/>
  </r>
  <r>
    <s v="ESPP1"/>
    <x v="70"/>
    <n v="3075.04"/>
    <s v="99 - "/>
    <x v="36"/>
  </r>
  <r>
    <s v="ESPP1"/>
    <x v="55"/>
    <n v="2748.84"/>
    <s v="99 - "/>
    <x v="36"/>
  </r>
  <r>
    <s v="ESPP1"/>
    <x v="22"/>
    <n v="5"/>
    <s v="99 - "/>
    <x v="36"/>
  </r>
  <r>
    <s v="ESPP1"/>
    <x v="24"/>
    <n v="-1083.25"/>
    <s v="99 - "/>
    <x v="36"/>
  </r>
  <r>
    <s v="ESPP1"/>
    <x v="2"/>
    <n v="0.37"/>
    <s v="99 - "/>
    <x v="36"/>
  </r>
  <r>
    <s v="ESPP1"/>
    <x v="71"/>
    <n v="980"/>
    <s v="99 - "/>
    <x v="36"/>
  </r>
  <r>
    <s v="ESPP1"/>
    <x v="72"/>
    <n v="330.23"/>
    <s v="99 - "/>
    <x v="36"/>
  </r>
  <r>
    <s v="ESPP1"/>
    <x v="42"/>
    <n v="1000"/>
    <s v="99 - "/>
    <x v="36"/>
  </r>
  <r>
    <s v="ESPP1"/>
    <x v="26"/>
    <n v="2000"/>
    <s v="99 - "/>
    <x v="36"/>
  </r>
  <r>
    <s v="ESPP1"/>
    <x v="13"/>
    <n v="2000"/>
    <s v="99 - "/>
    <x v="36"/>
  </r>
  <r>
    <s v="ESPP1"/>
    <x v="16"/>
    <n v="533.91999999999996"/>
    <s v="99 - "/>
    <x v="36"/>
  </r>
  <r>
    <s v="13.5 Month Pay"/>
    <x v="73"/>
    <n v="1000"/>
    <s v="99 - "/>
    <x v="37"/>
  </r>
  <r>
    <s v="13.5 Month Pay"/>
    <x v="31"/>
    <n v="2000"/>
    <s v="99 - "/>
    <x v="37"/>
  </r>
  <r>
    <s v="13.5 Month Pay"/>
    <x v="25"/>
    <n v="3675"/>
    <s v="99 - "/>
    <x v="37"/>
  </r>
  <r>
    <s v="13.5 Month Pay"/>
    <x v="74"/>
    <n v="134"/>
    <s v="99 - "/>
    <x v="37"/>
  </r>
  <r>
    <s v="13.5 Month Pay"/>
    <x v="31"/>
    <n v="999"/>
    <s v="99 - "/>
    <x v="37"/>
  </r>
  <r>
    <s v="13.5 Month Pay"/>
    <x v="75"/>
    <n v="1036.76"/>
    <s v="99 - "/>
    <x v="37"/>
  </r>
  <r>
    <s v="13.5 Month Pay"/>
    <x v="22"/>
    <n v="5"/>
    <s v="99 - "/>
    <x v="37"/>
  </r>
  <r>
    <s v="13.5 Month Pay"/>
    <x v="2"/>
    <n v="10"/>
    <s v="99 - "/>
    <x v="37"/>
  </r>
  <r>
    <s v="13.5 Month Pay"/>
    <x v="13"/>
    <n v="5000"/>
    <s v="99 - "/>
    <x v="37"/>
  </r>
  <r>
    <s v="13.5 Month Pay"/>
    <x v="22"/>
    <n v="5"/>
    <s v="99 - "/>
    <x v="37"/>
  </r>
  <r>
    <s v="13.5 Month Pay"/>
    <x v="76"/>
    <n v="-2040"/>
    <s v="99 - "/>
    <x v="37"/>
  </r>
  <r>
    <s v="13.5 Month Pay"/>
    <x v="16"/>
    <n v="666.39"/>
    <s v="99 - "/>
    <x v="37"/>
  </r>
  <r>
    <s v="13.5 Month Pay"/>
    <x v="13"/>
    <n v="2000"/>
    <s v="99 - "/>
    <x v="37"/>
  </r>
  <r>
    <s v="CorpBonus-6-05-25"/>
    <x v="77"/>
    <n v="2500"/>
    <s v="99 - "/>
    <x v="38"/>
  </r>
  <r>
    <s v="CorpBonus-6-05-25"/>
    <x v="31"/>
    <n v="1000"/>
    <s v="99 - "/>
    <x v="38"/>
  </r>
  <r>
    <s v="CorpBonus-6-05-25"/>
    <x v="6"/>
    <n v="5000"/>
    <s v="99 - "/>
    <x v="38"/>
  </r>
  <r>
    <s v="CorpBonus-6-05-25"/>
    <x v="29"/>
    <n v="250"/>
    <s v="99 - "/>
    <x v="38"/>
  </r>
  <r>
    <s v="CorpBonus-6-05-25"/>
    <x v="24"/>
    <n v="-2000"/>
    <s v="99 - "/>
    <x v="38"/>
  </r>
  <r>
    <s v="CorpBonus-6-05-25"/>
    <x v="13"/>
    <n v="2000"/>
    <s v="99 - "/>
    <x v="38"/>
  </r>
  <r>
    <s v="CorpBonus-6-05-25"/>
    <x v="16"/>
    <n v="7.94"/>
    <s v="99 - "/>
    <x v="38"/>
  </r>
  <r>
    <s v="Maya Expenses 2"/>
    <x v="24"/>
    <n v="-1000"/>
    <s v="99 - "/>
    <x v="39"/>
  </r>
  <r>
    <s v="Maya Expenses 2"/>
    <x v="13"/>
    <n v="-1700"/>
    <s v="99 - "/>
    <x v="39"/>
  </r>
  <r>
    <s v="Maya Expenses 2"/>
    <x v="35"/>
    <n v="-30000"/>
    <s v="99 - "/>
    <x v="39"/>
  </r>
  <r>
    <s v="Maya Expenses 2"/>
    <x v="35"/>
    <n v="-4000"/>
    <s v="99 - "/>
    <x v="39"/>
  </r>
  <r>
    <s v="Maya Expenses 2"/>
    <x v="24"/>
    <n v="-4500"/>
    <s v="99 - "/>
    <x v="39"/>
  </r>
  <r>
    <s v="Maya Expenses 2"/>
    <x v="42"/>
    <n v="2673.17"/>
    <s v="99 - "/>
    <x v="39"/>
  </r>
  <r>
    <s v="Maya Expenses 2"/>
    <x v="19"/>
    <n v="100"/>
    <s v="99 - "/>
    <x v="39"/>
  </r>
  <r>
    <s v="Maya Expenses 2"/>
    <x v="13"/>
    <n v="-2273.17"/>
    <s v="99 - "/>
    <x v="39"/>
  </r>
  <r>
    <s v="Maya Expenses 2"/>
    <x v="35"/>
    <n v="-4000"/>
    <s v="99 - "/>
    <x v="39"/>
  </r>
  <r>
    <s v="Maya Expenses 2"/>
    <x v="24"/>
    <n v="-3000"/>
    <s v="99 - "/>
    <x v="39"/>
  </r>
  <r>
    <s v="Maya Expenses 2"/>
    <x v="35"/>
    <n v="-4000"/>
    <s v="99 - "/>
    <x v="39"/>
  </r>
  <r>
    <s v="Maya Expenses 2"/>
    <x v="24"/>
    <n v="-500"/>
    <s v="99 - "/>
    <x v="39"/>
  </r>
  <r>
    <s v="Maya Expenses 2"/>
    <x v="24"/>
    <n v="-4000"/>
    <s v="99 - "/>
    <x v="39"/>
  </r>
  <r>
    <s v="Maya Expenses 2"/>
    <x v="42"/>
    <n v="2673.17"/>
    <s v="99 - "/>
    <x v="39"/>
  </r>
  <r>
    <s v="Maya Expenses 2"/>
    <x v="24"/>
    <n v="-1000"/>
    <s v="99 - "/>
    <x v="39"/>
  </r>
  <r>
    <s v="Maya Expenses 2"/>
    <x v="13"/>
    <n v="-470"/>
    <s v="99 - "/>
    <x v="39"/>
  </r>
  <r>
    <s v="Maya Expenses 2"/>
    <x v="13"/>
    <n v="-203.17"/>
    <s v="99 - "/>
    <x v="39"/>
  </r>
  <r>
    <s v="Maya Expenses 2"/>
    <x v="45"/>
    <n v="5000"/>
    <s v="99 - "/>
    <x v="39"/>
  </r>
  <r>
    <s v="Maya Expenses 2"/>
    <x v="24"/>
    <n v="-3500"/>
    <s v="99 - "/>
    <x v="39"/>
  </r>
  <r>
    <s v="Maya Expenses 2"/>
    <x v="35"/>
    <n v="-6000"/>
    <s v="99 - "/>
    <x v="39"/>
  </r>
  <r>
    <s v="Maya Expenses 2"/>
    <x v="13"/>
    <n v="-500"/>
    <s v="99 - "/>
    <x v="39"/>
  </r>
  <r>
    <s v="Maya Expenses 2"/>
    <x v="35"/>
    <n v="-4000"/>
    <s v="99 - "/>
    <x v="39"/>
  </r>
  <r>
    <s v="Maya Expenses 2"/>
    <x v="13"/>
    <n v="-2500"/>
    <s v="99 - "/>
    <x v="39"/>
  </r>
  <r>
    <s v="Maya Expenses 2"/>
    <x v="35"/>
    <n v="11500"/>
    <s v="99 - "/>
    <x v="39"/>
  </r>
  <r>
    <s v="Maya Expenses 2"/>
    <x v="35"/>
    <n v="10000"/>
    <s v="99 - "/>
    <x v="39"/>
  </r>
  <r>
    <s v="Maya Expenses 2"/>
    <x v="35"/>
    <n v="-4000"/>
    <s v="99 - "/>
    <x v="39"/>
  </r>
  <r>
    <s v="Maya Expenses 2"/>
    <x v="13"/>
    <n v="-2000"/>
    <s v="99 - "/>
    <x v="39"/>
  </r>
  <r>
    <s v="Maya Expenses 2"/>
    <x v="6"/>
    <n v="6000"/>
    <s v="99 - "/>
    <x v="39"/>
  </r>
  <r>
    <s v="Maya Expenses 2"/>
    <x v="24"/>
    <n v="-2000"/>
    <s v="99 - "/>
    <x v="39"/>
  </r>
  <r>
    <s v="Maya Expenses 2"/>
    <x v="4"/>
    <n v="2000"/>
    <s v="99 - "/>
    <x v="39"/>
  </r>
  <r>
    <s v="Maya Expenses 2"/>
    <x v="42"/>
    <n v="2673.17"/>
    <s v="99 - "/>
    <x v="39"/>
  </r>
  <r>
    <s v="Maya Expenses 2"/>
    <x v="13"/>
    <n v="-173.17"/>
    <s v="99 - "/>
    <x v="39"/>
  </r>
  <r>
    <s v="Maya Expenses 2"/>
    <x v="35"/>
    <n v="-4000"/>
    <s v="99 - "/>
    <x v="39"/>
  </r>
  <r>
    <s v="Maya Expenses 2"/>
    <x v="13"/>
    <n v="-3000"/>
    <s v="99 - "/>
    <x v="39"/>
  </r>
  <r>
    <s v="Maya Expenses 2"/>
    <x v="35"/>
    <n v="-5000"/>
    <s v="99 - "/>
    <x v="39"/>
  </r>
  <r>
    <s v="Maya Expenses 2"/>
    <x v="44"/>
    <n v="1000"/>
    <s v="99 - "/>
    <x v="39"/>
  </r>
  <r>
    <s v="Maya Expenses 2"/>
    <x v="78"/>
    <n v="600"/>
    <s v="99 - "/>
    <x v="39"/>
  </r>
  <r>
    <s v="Maya Expenses 2"/>
    <x v="75"/>
    <n v="400"/>
    <s v="99 - "/>
    <x v="39"/>
  </r>
  <r>
    <s v="Maya Expenses 2"/>
    <x v="6"/>
    <n v="2000"/>
    <s v="99 - "/>
    <x v="39"/>
  </r>
  <r>
    <s v="Maya Expenses 2"/>
    <x v="35"/>
    <n v="10000"/>
    <s v="99 - "/>
    <x v="39"/>
  </r>
  <r>
    <s v="Maya Expenses 2"/>
    <x v="6"/>
    <n v="3500"/>
    <s v="99 - "/>
    <x v="39"/>
  </r>
  <r>
    <s v="Maya Expenses 2"/>
    <x v="35"/>
    <n v="-2000"/>
    <s v="99 - "/>
    <x v="39"/>
  </r>
  <r>
    <s v="Maya Expenses 2"/>
    <x v="17"/>
    <n v="2000"/>
    <s v="99 - "/>
    <x v="39"/>
  </r>
  <r>
    <s v="Maya Expenses 2"/>
    <x v="6"/>
    <n v="3000"/>
    <s v="99 - "/>
    <x v="39"/>
  </r>
  <r>
    <s v="Maya Expenses 2"/>
    <x v="24"/>
    <n v="-5000"/>
    <s v="99 - "/>
    <x v="39"/>
  </r>
  <r>
    <s v="Maya Expenses 2"/>
    <x v="24"/>
    <n v="-5000"/>
    <s v="99 - "/>
    <x v="39"/>
  </r>
  <r>
    <s v="Maya Expenses 2"/>
    <x v="24"/>
    <n v="-1000"/>
    <s v="99 - "/>
    <x v="39"/>
  </r>
  <r>
    <s v="Maya Expenses 2"/>
    <x v="35"/>
    <n v="-4000"/>
    <s v="99 - "/>
    <x v="39"/>
  </r>
  <r>
    <s v="Maya Expenses 2"/>
    <x v="79"/>
    <n v="9200"/>
    <s v="99 - "/>
    <x v="39"/>
  </r>
  <r>
    <s v="Maya Expenses 2"/>
    <x v="24"/>
    <n v="-2000"/>
    <s v="99 - "/>
    <x v="39"/>
  </r>
  <r>
    <s v="Maya Expenses 2"/>
    <x v="42"/>
    <n v="2000"/>
    <s v="99 - "/>
    <x v="39"/>
  </r>
  <r>
    <s v="Maya Expenses 2"/>
    <x v="35"/>
    <n v="-4000"/>
    <s v="99 - "/>
    <x v="39"/>
  </r>
  <r>
    <s v="Maya Expenses 2"/>
    <x v="35"/>
    <n v="-4000"/>
    <s v="99 - "/>
    <x v="39"/>
  </r>
  <r>
    <s v="Maya Expenses 2"/>
    <x v="35"/>
    <n v="10000"/>
    <s v="99 - "/>
    <x v="39"/>
  </r>
  <r>
    <s v="Maya Expenses 2"/>
    <x v="35"/>
    <n v="-4000"/>
    <s v="99 - "/>
    <x v="39"/>
  </r>
  <r>
    <s v="Maya Expenses 2"/>
    <x v="13"/>
    <n v="-3000"/>
    <s v="99 - "/>
    <x v="39"/>
  </r>
  <r>
    <s v="Maya Expenses 2"/>
    <x v="24"/>
    <n v="-2000"/>
    <s v="99 - "/>
    <x v="39"/>
  </r>
  <r>
    <s v="Maya Expenses 2"/>
    <x v="42"/>
    <n v="2000"/>
    <s v="99 - "/>
    <x v="39"/>
  </r>
  <r>
    <s v="Maya Expenses 2"/>
    <x v="13"/>
    <n v="-4500"/>
    <s v="99 - "/>
    <x v="39"/>
  </r>
  <r>
    <s v="Maya Expenses 2"/>
    <x v="13"/>
    <n v="-3000"/>
    <s v="99 - "/>
    <x v="39"/>
  </r>
  <r>
    <s v="Maya Expenses 2"/>
    <x v="35"/>
    <n v="-1300"/>
    <s v="99 - "/>
    <x v="39"/>
  </r>
  <r>
    <s v="Maya Expenses 2"/>
    <x v="6"/>
    <n v="500"/>
    <s v="99 - "/>
    <x v="39"/>
  </r>
  <r>
    <s v="Maya Expenses 2"/>
    <x v="24"/>
    <n v="-4500"/>
    <s v="99 - "/>
    <x v="39"/>
  </r>
  <r>
    <s v="Maya Expenses 2"/>
    <x v="35"/>
    <n v="-4000"/>
    <s v="99 - "/>
    <x v="39"/>
  </r>
  <r>
    <s v="Maya Expenses 2"/>
    <x v="13"/>
    <n v="-2000"/>
    <s v="99 - "/>
    <x v="39"/>
  </r>
  <r>
    <s v="Maya Expenses 2"/>
    <x v="13"/>
    <n v="-3000"/>
    <s v="99 - "/>
    <x v="39"/>
  </r>
  <r>
    <s v="Maya Expenses 2"/>
    <x v="19"/>
    <n v="100"/>
    <s v="99 - "/>
    <x v="39"/>
  </r>
  <r>
    <s v="Maya Expenses 2"/>
    <x v="13"/>
    <n v="-3500"/>
    <s v="99 - "/>
    <x v="39"/>
  </r>
  <r>
    <s v="Maya Expenses 2"/>
    <x v="13"/>
    <n v="-500"/>
    <s v="99 - "/>
    <x v="39"/>
  </r>
  <r>
    <s v="Maya Expenses 2"/>
    <x v="6"/>
    <n v="15000"/>
    <s v="99 - "/>
    <x v="39"/>
  </r>
  <r>
    <s v="Maya Expenses 2"/>
    <x v="35"/>
    <n v="-4000"/>
    <s v="99 - "/>
    <x v="39"/>
  </r>
  <r>
    <s v="Maya Expenses 2"/>
    <x v="24"/>
    <n v="-2000"/>
    <s v="99 - "/>
    <x v="39"/>
  </r>
  <r>
    <s v="Maya Expenses 2"/>
    <x v="42"/>
    <n v="2000"/>
    <s v="99 - "/>
    <x v="39"/>
  </r>
  <r>
    <s v="Maya Expenses 2"/>
    <x v="35"/>
    <n v="-4000"/>
    <s v="99 - "/>
    <x v="39"/>
  </r>
  <r>
    <s v="Maya Expenses 2"/>
    <x v="13"/>
    <n v="-1000"/>
    <s v="99 - "/>
    <x v="39"/>
  </r>
  <r>
    <s v="Maya Expenses 2"/>
    <x v="13"/>
    <n v="-10000"/>
    <s v="99 - "/>
    <x v="39"/>
  </r>
  <r>
    <s v="Maya Expenses 2"/>
    <x v="13"/>
    <n v="-2000"/>
    <s v="99 - "/>
    <x v="39"/>
  </r>
  <r>
    <s v="Maya Expenses 2"/>
    <x v="13"/>
    <n v="-1500"/>
    <s v="99 - "/>
    <x v="39"/>
  </r>
  <r>
    <s v="Maya Expenses 2"/>
    <x v="24"/>
    <n v="-2500"/>
    <s v="99 - "/>
    <x v="39"/>
  </r>
  <r>
    <s v="Maya Expenses 2"/>
    <x v="35"/>
    <n v="-4000"/>
    <s v="99 - "/>
    <x v="39"/>
  </r>
  <r>
    <s v="Maya Expenses 2"/>
    <x v="13"/>
    <n v="-2000"/>
    <s v="99 - "/>
    <x v="39"/>
  </r>
  <r>
    <s v="Maya Expenses 2"/>
    <x v="35"/>
    <n v="-2600"/>
    <s v="99 - "/>
    <x v="39"/>
  </r>
  <r>
    <s v="Maya Expenses 2"/>
    <x v="35"/>
    <n v="-4000"/>
    <s v="99 - "/>
    <x v="39"/>
  </r>
  <r>
    <s v="Maya Expenses 2"/>
    <x v="13"/>
    <n v="-6000"/>
    <s v="99 - "/>
    <x v="39"/>
  </r>
  <r>
    <s v="Maya Expenses 2"/>
    <x v="13"/>
    <n v="-1400"/>
    <s v="99 - "/>
    <x v="39"/>
  </r>
  <r>
    <s v="Maya Expenses 2"/>
    <x v="13"/>
    <n v="-2000"/>
    <s v="99 - "/>
    <x v="39"/>
  </r>
  <r>
    <s v="Maya Expenses 2"/>
    <x v="35"/>
    <n v="-4000"/>
    <s v="99 - "/>
    <x v="39"/>
  </r>
  <r>
    <s v="Maya Expenses 2"/>
    <x v="35"/>
    <n v="-1300"/>
    <s v="99 - "/>
    <x v="39"/>
  </r>
  <r>
    <s v="Maya Expenses 2"/>
    <x v="35"/>
    <n v="10000"/>
    <s v="99 - "/>
    <x v="39"/>
  </r>
  <r>
    <s v="Maya Expenses 2"/>
    <x v="6"/>
    <n v="20000"/>
    <s v="99 - "/>
    <x v="39"/>
  </r>
  <r>
    <s v="Maya Expenses 2"/>
    <x v="24"/>
    <n v="-2000"/>
    <s v="99 - "/>
    <x v="39"/>
  </r>
  <r>
    <s v="Maya Expenses 2"/>
    <x v="13"/>
    <n v="-1000"/>
    <s v="99 - "/>
    <x v="39"/>
  </r>
  <r>
    <s v="Maya Expenses 2"/>
    <x v="35"/>
    <n v="-4000"/>
    <s v="99 - "/>
    <x v="39"/>
  </r>
  <r>
    <s v="Maya Expenses 2"/>
    <x v="24"/>
    <n v="-5000"/>
    <s v="99 - "/>
    <x v="39"/>
  </r>
  <r>
    <s v="Maya Expenses 2"/>
    <x v="24"/>
    <n v="-1000"/>
    <s v="99 - "/>
    <x v="39"/>
  </r>
  <r>
    <s v="Maya Expenses 2"/>
    <x v="35"/>
    <n v="-4000"/>
    <s v="99 - "/>
    <x v="39"/>
  </r>
  <r>
    <s v="Maya Expenses 2"/>
    <x v="24"/>
    <n v="-3000"/>
    <s v="99 - "/>
    <x v="39"/>
  </r>
  <r>
    <s v="Maya Expenses 2"/>
    <x v="6"/>
    <n v="6000"/>
    <s v="99 - "/>
    <x v="39"/>
  </r>
  <r>
    <s v="Maya Expenses 2"/>
    <x v="6"/>
    <n v="5000"/>
    <s v="99 - "/>
    <x v="39"/>
  </r>
  <r>
    <s v="Maya Expenses 2"/>
    <x v="6"/>
    <n v="3000"/>
    <s v="99 - "/>
    <x v="39"/>
  </r>
  <r>
    <s v="Maya Expenses 2"/>
    <x v="13"/>
    <n v="-1000"/>
    <s v="99 - "/>
    <x v="39"/>
  </r>
  <r>
    <s v="Maya Expenses 2"/>
    <x v="35"/>
    <n v="-4000"/>
    <s v="99 - "/>
    <x v="39"/>
  </r>
  <r>
    <s v="Maya Expenses 2"/>
    <x v="46"/>
    <n v="41000"/>
    <s v="99 - "/>
    <x v="39"/>
  </r>
  <r>
    <s v="Maya Expenses 2"/>
    <x v="24"/>
    <n v="-5500"/>
    <s v="99 - "/>
    <x v="39"/>
  </r>
  <r>
    <s v="Maya Expenses 2"/>
    <x v="24"/>
    <n v="-1200"/>
    <s v="99 - "/>
    <x v="39"/>
  </r>
  <r>
    <s v="Maya Expenses 2"/>
    <x v="35"/>
    <n v="-1300"/>
    <s v="99 - "/>
    <x v="39"/>
  </r>
  <r>
    <s v="Maya Expenses 2"/>
    <x v="35"/>
    <n v="-4000"/>
    <s v="99 - "/>
    <x v="39"/>
  </r>
  <r>
    <s v="Maya Expenses 2"/>
    <x v="24"/>
    <n v="-6000"/>
    <s v="99 - "/>
    <x v="39"/>
  </r>
  <r>
    <s v="Maya Expenses 2"/>
    <x v="24"/>
    <n v="-500"/>
    <s v="99 - "/>
    <x v="39"/>
  </r>
  <r>
    <s v="Maya Expenses 2"/>
    <x v="6"/>
    <n v="2500"/>
    <s v="99 - "/>
    <x v="39"/>
  </r>
  <r>
    <s v="Maya Expenses 2"/>
    <x v="24"/>
    <n v="-2500"/>
    <s v="99 - "/>
    <x v="39"/>
  </r>
  <r>
    <s v="Maya Expenses 2"/>
    <x v="24"/>
    <n v="-1000"/>
    <s v="99 - "/>
    <x v="39"/>
  </r>
  <r>
    <s v="Maya Expenses 2"/>
    <x v="35"/>
    <n v="-4000"/>
    <s v="99 - "/>
    <x v="39"/>
  </r>
  <r>
    <s v="Maya Expenses 2"/>
    <x v="35"/>
    <n v="-4000"/>
    <s v="99 - "/>
    <x v="39"/>
  </r>
  <r>
    <s v="Maya Expenses 2"/>
    <x v="24"/>
    <n v="-5000"/>
    <s v="99 - "/>
    <x v="39"/>
  </r>
  <r>
    <s v="Maya Expenses 2"/>
    <x v="13"/>
    <n v="-1000"/>
    <s v="99 - "/>
    <x v="39"/>
  </r>
  <r>
    <s v="Maya Expenses 2"/>
    <x v="13"/>
    <n v="-8000"/>
    <s v="99 - "/>
    <x v="39"/>
  </r>
  <r>
    <s v="Maya Expenses 2"/>
    <x v="35"/>
    <n v="-1300"/>
    <s v="99 - "/>
    <x v="39"/>
  </r>
  <r>
    <s v="Maya Expenses 2"/>
    <x v="35"/>
    <n v="-4000"/>
    <s v="99 - "/>
    <x v="39"/>
  </r>
  <r>
    <s v="Maya Expenses 2"/>
    <x v="35"/>
    <n v="10000"/>
    <s v="99 - "/>
    <x v="39"/>
  </r>
  <r>
    <s v="Maya Expenses 2"/>
    <x v="24"/>
    <n v="1000"/>
    <s v="99 - "/>
    <x v="39"/>
  </r>
  <r>
    <s v="Maya Expenses 2"/>
    <x v="35"/>
    <n v="-4000"/>
    <s v="99 - "/>
    <x v="39"/>
  </r>
  <r>
    <s v="Maya Expenses 2"/>
    <x v="6"/>
    <n v="5000"/>
    <s v="99 - "/>
    <x v="39"/>
  </r>
  <r>
    <s v="Maya Expenses 2"/>
    <x v="6"/>
    <n v="2800"/>
    <s v="99 - "/>
    <x v="39"/>
  </r>
  <r>
    <s v="Corp12Q26"/>
    <x v="52"/>
    <n v="815"/>
    <s v="99 - "/>
    <x v="40"/>
  </r>
  <r>
    <s v="Corp12Q26"/>
    <x v="75"/>
    <n v="1000"/>
    <s v="99 - "/>
    <x v="40"/>
  </r>
  <r>
    <s v="Corp12Q26"/>
    <x v="31"/>
    <n v="1500"/>
    <s v="99 - "/>
    <x v="40"/>
  </r>
  <r>
    <s v="Corp12Q26"/>
    <x v="24"/>
    <n v="1000"/>
    <s v="99 - "/>
    <x v="40"/>
  </r>
  <r>
    <s v="Corp12Q26"/>
    <x v="80"/>
    <n v="4000"/>
    <s v="99 - "/>
    <x v="40"/>
  </r>
  <r>
    <s v="Corp12Q26"/>
    <x v="31"/>
    <n v="500"/>
    <s v="99 - "/>
    <x v="40"/>
  </r>
  <r>
    <s v="Corp12Q26"/>
    <x v="31"/>
    <n v="500"/>
    <s v="99 - "/>
    <x v="40"/>
  </r>
  <r>
    <s v="Corp12Q26"/>
    <x v="22"/>
    <n v="10"/>
    <s v="99 - "/>
    <x v="40"/>
  </r>
  <r>
    <s v="06/04/26"/>
    <x v="16"/>
    <n v="-141.35"/>
    <n v="26"/>
    <x v="41"/>
  </r>
  <r>
    <s v="06/04/26"/>
    <x v="35"/>
    <n v="4000"/>
    <n v="26"/>
    <x v="41"/>
  </r>
  <r>
    <s v="06/04/26"/>
    <x v="2"/>
    <n v="3454.3"/>
    <n v="26"/>
    <x v="41"/>
  </r>
  <r>
    <s v="06/04/26"/>
    <x v="18"/>
    <n v="450"/>
    <n v="26"/>
    <x v="41"/>
  </r>
  <r>
    <s v="06/04/26"/>
    <x v="15"/>
    <n v="700"/>
    <n v="26"/>
    <x v="41"/>
  </r>
  <r>
    <s v="06/04/26"/>
    <x v="24"/>
    <n v="1350"/>
    <n v="26"/>
    <x v="41"/>
  </r>
  <r>
    <s v="06/04/26"/>
    <x v="24"/>
    <n v="300"/>
    <n v="26"/>
    <x v="41"/>
  </r>
  <r>
    <s v="06/04/26"/>
    <x v="20"/>
    <n v="180"/>
    <n v="26"/>
    <x v="41"/>
  </r>
  <r>
    <s v="06/04/26"/>
    <x v="37"/>
    <n v="296"/>
    <n v="26"/>
    <x v="41"/>
  </r>
  <r>
    <s v="06/04/26"/>
    <x v="22"/>
    <n v="10"/>
    <n v="26"/>
    <x v="41"/>
  </r>
  <r>
    <s v="06/04/26"/>
    <x v="25"/>
    <n v="235"/>
    <n v="26"/>
    <x v="41"/>
  </r>
  <r>
    <s v="06/04/26"/>
    <x v="14"/>
    <n v="232.44"/>
    <n v="26"/>
    <x v="41"/>
  </r>
  <r>
    <s v="06/04/26"/>
    <x v="15"/>
    <n v="500"/>
    <n v="26"/>
    <x v="41"/>
  </r>
  <r>
    <s v="06/04/26"/>
    <x v="11"/>
    <n v="800"/>
    <n v="26"/>
    <x v="41"/>
  </r>
  <r>
    <s v="05/21/26"/>
    <x v="16"/>
    <n v="-447.45000000000402"/>
    <n v="26"/>
    <x v="42"/>
  </r>
  <r>
    <s v="05/21/26"/>
    <x v="35"/>
    <n v="4000"/>
    <n v="26"/>
    <x v="42"/>
  </r>
  <r>
    <s v="05/21/26"/>
    <x v="31"/>
    <n v="500"/>
    <n v="26"/>
    <x v="42"/>
  </r>
  <r>
    <s v="05/21/26"/>
    <x v="2"/>
    <n v="2038.58"/>
    <n v="26"/>
    <x v="42"/>
  </r>
  <r>
    <s v="05/21/26"/>
    <x v="3"/>
    <n v="1182.5"/>
    <n v="26"/>
    <x v="42"/>
  </r>
  <r>
    <s v="05/21/26"/>
    <x v="24"/>
    <n v="500"/>
    <n v="26"/>
    <x v="42"/>
  </r>
  <r>
    <s v="05/21/26"/>
    <x v="24"/>
    <n v="300"/>
    <n v="26"/>
    <x v="42"/>
  </r>
  <r>
    <s v="05/21/26"/>
    <x v="9"/>
    <n v="1000"/>
    <n v="26"/>
    <x v="42"/>
  </r>
  <r>
    <s v="05/21/26"/>
    <x v="20"/>
    <n v="325"/>
    <n v="26"/>
    <x v="42"/>
  </r>
  <r>
    <s v="05/21/26"/>
    <x v="22"/>
    <n v="10"/>
    <n v="26"/>
    <x v="42"/>
  </r>
  <r>
    <s v="05/21/26"/>
    <x v="15"/>
    <n v="1000"/>
    <n v="26"/>
    <x v="42"/>
  </r>
  <r>
    <s v="05/21/26"/>
    <x v="15"/>
    <n v="1000"/>
    <n v="26"/>
    <x v="42"/>
  </r>
  <r>
    <s v="05/21/26"/>
    <x v="37"/>
    <n v="199"/>
    <n v="26"/>
    <x v="42"/>
  </r>
  <r>
    <s v="05/21/26"/>
    <x v="37"/>
    <n v="182"/>
    <n v="26"/>
    <x v="42"/>
  </r>
  <r>
    <s v="05/21/26"/>
    <x v="16"/>
    <n v="141.35"/>
    <n v="26"/>
    <x v="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9E7A82-91AB-48A5-B0D0-E3D8C856D336}" name="ExpensePivot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6">
  <location ref="H3:I34" firstHeaderRow="1" firstDataRow="1" firstDataCol="1" rowPageCount="1" colPageCount="1"/>
  <pivotFields count="5">
    <pivotField showAll="0"/>
    <pivotField axis="axisPage" multipleItemSelectionAllowed="1" showAll="0">
      <items count="82">
        <item h="1" x="10"/>
        <item h="1" x="56"/>
        <item h="1" x="64"/>
        <item h="1" x="25"/>
        <item h="1" x="58"/>
        <item h="1" x="61"/>
        <item h="1" x="7"/>
        <item h="1" x="2"/>
        <item h="1" x="79"/>
        <item h="1" x="3"/>
        <item x="15"/>
        <item h="1" x="77"/>
        <item h="1" x="16"/>
        <item h="1" x="43"/>
        <item h="1" x="11"/>
        <item h="1" x="71"/>
        <item h="1" x="20"/>
        <item h="1" x="57"/>
        <item h="1" x="48"/>
        <item h="1" x="69"/>
        <item h="1" x="28"/>
        <item h="1" x="47"/>
        <item h="1" x="52"/>
        <item h="1" x="50"/>
        <item h="1" x="53"/>
        <item h="1" x="34"/>
        <item h="1" x="9"/>
        <item h="1" x="46"/>
        <item h="1" x="23"/>
        <item h="1" x="37"/>
        <item h="1" x="75"/>
        <item h="1" x="40"/>
        <item h="1" x="73"/>
        <item h="1" x="31"/>
        <item h="1" x="38"/>
        <item h="1" x="59"/>
        <item h="1" x="35"/>
        <item h="1" x="30"/>
        <item h="1" x="60"/>
        <item h="1" x="8"/>
        <item h="1" x="68"/>
        <item h="1" x="63"/>
        <item h="1" x="45"/>
        <item h="1" x="78"/>
        <item h="1" x="19"/>
        <item h="1" x="21"/>
        <item h="1" x="39"/>
        <item h="1" x="65"/>
        <item h="1" x="36"/>
        <item h="1" x="41"/>
        <item h="1" x="44"/>
        <item h="1" x="24"/>
        <item h="1" x="51"/>
        <item h="1" x="74"/>
        <item h="1" x="26"/>
        <item h="1" x="49"/>
        <item h="1" x="76"/>
        <item h="1" x="0"/>
        <item h="1" x="62"/>
        <item h="1" x="13"/>
        <item h="1" x="72"/>
        <item h="1" x="66"/>
        <item h="1" x="14"/>
        <item h="1" x="33"/>
        <item h="1" x="42"/>
        <item h="1" x="27"/>
        <item h="1" x="70"/>
        <item h="1" x="55"/>
        <item h="1" x="54"/>
        <item h="1" x="32"/>
        <item h="1" x="17"/>
        <item h="1" x="22"/>
        <item h="1" x="67"/>
        <item h="1" x="6"/>
        <item h="1" x="18"/>
        <item h="1" x="1"/>
        <item h="1" x="12"/>
        <item h="1" x="29"/>
        <item h="1" x="4"/>
        <item h="1" x="5"/>
        <item h="1" x="80"/>
        <item t="default"/>
      </items>
    </pivotField>
    <pivotField dataField="1" showAll="0"/>
    <pivotField showAll="0"/>
    <pivotField axis="axisRow" showAll="0" sortType="ascending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42"/>
        <item x="41"/>
        <item x="35"/>
        <item x="37"/>
        <item x="33"/>
        <item x="40"/>
        <item x="34"/>
        <item x="38"/>
        <item x="32"/>
        <item x="36"/>
        <item x="31"/>
        <item x="39"/>
        <item t="default"/>
      </items>
    </pivotField>
  </pivotFields>
  <rowFields count="1">
    <field x="4"/>
  </rowFields>
  <rowItems count="31"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9"/>
    </i>
    <i t="grand">
      <x/>
    </i>
  </rowItems>
  <colItems count="1">
    <i/>
  </colItems>
  <pageFields count="1">
    <pageField fld="1" hier="-1"/>
  </pageFields>
  <dataFields count="1">
    <dataField name="Sum of Amount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F168D-6CB8-4B54-AAE4-67F505C0C265}" name="Table24785" displayName="Table24785" ref="A1:D24" totalsRowShown="0" headerRowDxfId="270" dataDxfId="269">
  <autoFilter ref="A1:D24" xr:uid="{E69632DD-19D7-4B7D-BEF6-E4944C222D41}"/>
  <tableColumns count="4">
    <tableColumn id="1" xr3:uid="{3207D309-6417-4392-B3B5-D22BC4CAA4E3}" name="Expenses" dataDxfId="268"/>
    <tableColumn id="2" xr3:uid="{FAEA6E36-2E63-4DBB-AD59-D57A95AA52A8}" name="Amount" dataDxfId="267"/>
    <tableColumn id="3" xr3:uid="{4FDDA723-6B86-4115-830A-9CA2C9FE0843}" name="Date" dataDxfId="266"/>
    <tableColumn id="4" xr3:uid="{3F4028B4-6282-441E-8DF3-CFA4D79464EB}" name="Remarks" dataDxfId="26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BDA619-6C7E-46C9-8993-BA59DC400F58}" name="Table2478" displayName="Table2478" ref="A1:D24" totalsRowShown="0" headerRowDxfId="264" dataDxfId="263">
  <autoFilter ref="A1:D24" xr:uid="{E69632DD-19D7-4B7D-BEF6-E4944C222D41}"/>
  <tableColumns count="4">
    <tableColumn id="1" xr3:uid="{A11C7E16-2C33-45BC-9896-468217D71835}" name="Expenses" dataDxfId="262"/>
    <tableColumn id="2" xr3:uid="{218E3094-B0DD-4225-A3C0-A78C4B7FD327}" name="Amount" dataDxfId="261"/>
    <tableColumn id="3" xr3:uid="{5A1BF0EE-2C61-4E8E-9D4A-0D150F08914E}" name="Date" dataDxfId="260"/>
    <tableColumn id="4" xr3:uid="{053B31BD-9FB5-4AB2-9E47-16F2E0961E32}" name="Remarks" dataDxfId="25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C9CF31-E320-40E2-8AF3-E070E478AE99}" name="Table1" displayName="Table1" ref="A1:G45" totalsRowShown="0" headerRowDxfId="281" dataDxfId="279" headerRowBorderDxfId="280" tableBorderDxfId="278">
  <autoFilter ref="A1:G45" xr:uid="{49C9CF31-E320-40E2-8AF3-E070E478AE99}"/>
  <tableColumns count="7">
    <tableColumn id="1" xr3:uid="{0FAB26D2-3913-4599-A90D-52B6836B6B65}" name="Budget From:" dataDxfId="277"/>
    <tableColumn id="2" xr3:uid="{DC525A65-1FDF-4AD2-9036-8FC06B58430A}" name="Amount" dataDxfId="276"/>
    <tableColumn id="3" xr3:uid="{41434201-08F7-432B-BAE0-9451FDFD0413}" name="Total Expenses" dataDxfId="275">
      <calculatedColumnFormula>SUM(#REF!)</calculatedColumnFormula>
    </tableColumn>
    <tableColumn id="4" xr3:uid="{304CE1E0-B31D-477B-B426-3A4FF77AB6B2}" name="After Expenses" dataDxfId="274">
      <calculatedColumnFormula>#REF!</calculatedColumnFormula>
    </tableColumn>
    <tableColumn id="5" xr3:uid="{DAD2CB8D-3F10-4E42-947F-B3600712FD71}" name="Savings" dataDxfId="273">
      <calculatedColumnFormula>SUMIFS(#REF!,#REF!,"Savings",#REF!,"&gt;0")</calculatedColumnFormula>
    </tableColumn>
    <tableColumn id="6" xr3:uid="{85DBB796-3707-4181-9A7E-A31403C23371}" name="Carry Over" dataDxfId="272">
      <calculatedColumnFormula>SUMIFS(#REF!,#REF!,"Carry Over",#REF!,"&gt;0")</calculatedColumnFormula>
    </tableColumn>
    <tableColumn id="7" xr3:uid="{4C01D72F-975C-4F3A-B925-4698403C3BF0}" name="House" dataDxfId="27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4DAB3F0-3D67-45F9-8ABA-77A374DA22BA}" name="Table247811" displayName="Table247811" ref="A1:D130" totalsRowShown="0" headerRowDxfId="258" dataDxfId="257">
  <autoFilter ref="A1:D130" xr:uid="{E69632DD-19D7-4B7D-BEF6-E4944C222D41}"/>
  <tableColumns count="4">
    <tableColumn id="1" xr3:uid="{4FD81253-31F8-4D5A-AD01-37511ABACE9C}" name="Expenses" dataDxfId="256"/>
    <tableColumn id="2" xr3:uid="{41CBF0B6-D5AF-4AB4-8DD6-39896E911FFF}" name="Amount" dataDxfId="255"/>
    <tableColumn id="3" xr3:uid="{11363C92-E49E-4431-9E8F-B05E78A48E20}" name="Date" dataDxfId="254"/>
    <tableColumn id="4" xr3:uid="{07253FC6-C202-4AEE-B07A-DFD1CDEF3832}" name="Remarks" dataDxfId="25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BAADC14-71FD-40C9-9E3B-5300CB5555FC}" name="Table247813" displayName="Table247813" ref="A1:D24" totalsRowShown="0" headerRowDxfId="252" dataDxfId="251">
  <autoFilter ref="A1:D24" xr:uid="{E69632DD-19D7-4B7D-BEF6-E4944C222D41}"/>
  <tableColumns count="4">
    <tableColumn id="1" xr3:uid="{546E5B55-03CC-4E79-A78C-CA92EFC8E67E}" name="Expenses" dataDxfId="250"/>
    <tableColumn id="2" xr3:uid="{D0602904-DE31-4118-8187-E5C759F9BCB2}" name="Amount" dataDxfId="249"/>
    <tableColumn id="3" xr3:uid="{C64F3C01-E890-4289-BC66-94A8A0A374E8}" name="Date" dataDxfId="248"/>
    <tableColumn id="4" xr3:uid="{4F2952E0-6AA5-4EB4-821B-58AD6DA76C46}" name="Remarks" dataDxfId="247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BCC70E5-4FCA-435C-A583-09802495208B}" name="Table247814" displayName="Table247814" ref="A1:D24" totalsRowShown="0" headerRowDxfId="246" dataDxfId="245">
  <autoFilter ref="A1:D24" xr:uid="{E69632DD-19D7-4B7D-BEF6-E4944C222D41}"/>
  <tableColumns count="4">
    <tableColumn id="1" xr3:uid="{A20F180F-C723-42A0-92BA-1614160730B8}" name="Expenses" dataDxfId="244"/>
    <tableColumn id="2" xr3:uid="{0E6FEADB-E090-4D26-B941-541DFCADC1F6}" name="Amount" dataDxfId="243"/>
    <tableColumn id="3" xr3:uid="{F2561352-E7A0-46E2-9676-E1B0B55ED87B}" name="Date" dataDxfId="242"/>
    <tableColumn id="4" xr3:uid="{B2269600-00CB-4502-B8BC-33CB82CECB2B}" name="Remarks" dataDxfId="241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0CC2892-2F07-40B8-A23D-D0FED897778F}" name="Table247815" displayName="Table247815" ref="A1:D24" totalsRowShown="0" headerRowDxfId="240" dataDxfId="239">
  <autoFilter ref="A1:D24" xr:uid="{E69632DD-19D7-4B7D-BEF6-E4944C222D41}"/>
  <tableColumns count="4">
    <tableColumn id="1" xr3:uid="{92A74F23-03B7-49FE-8D0B-93A48AF714C7}" name="Expenses" dataDxfId="238"/>
    <tableColumn id="2" xr3:uid="{DE2DBD6F-2464-4905-B101-04563AA64838}" name="Amount" dataDxfId="237"/>
    <tableColumn id="3" xr3:uid="{C9FE6604-E15A-4313-8D8E-B671DBCD6C21}" name="Date" dataDxfId="236"/>
    <tableColumn id="4" xr3:uid="{457F0274-93BF-4426-B151-9C6D91176BAE}" name="Remarks" dataDxfId="235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2C094DC-B196-475E-9351-7B353E56C842}" name="Table247816" displayName="Table247816" ref="A1:D24" totalsRowShown="0" headerRowDxfId="234" dataDxfId="233">
  <autoFilter ref="A1:D24" xr:uid="{E69632DD-19D7-4B7D-BEF6-E4944C222D41}"/>
  <tableColumns count="4">
    <tableColumn id="1" xr3:uid="{16383FE9-3CEB-4BDC-B0CA-0E762244E577}" name="Expenses" dataDxfId="232"/>
    <tableColumn id="2" xr3:uid="{A040DBC7-54A5-4A90-B1E7-594C154B4A5E}" name="Amount" dataDxfId="231"/>
    <tableColumn id="3" xr3:uid="{7E7F9ECC-DB47-44DB-9D32-6046F04737D1}" name="Date" dataDxfId="230"/>
    <tableColumn id="4" xr3:uid="{69DC6069-1784-4174-B814-D94CE325AE67}" name="Remarks" dataDxfId="22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7D9C68-2513-422C-994E-F4CDB5628044}" name="Table24783" displayName="Table24783" ref="A1:D24" totalsRowShown="0" headerRowDxfId="228" dataDxfId="227">
  <autoFilter ref="A1:D24" xr:uid="{E69632DD-19D7-4B7D-BEF6-E4944C222D41}"/>
  <tableColumns count="4">
    <tableColumn id="1" xr3:uid="{D9F24C34-6346-4D1D-A273-079389A739A6}" name="Expenses" dataDxfId="226"/>
    <tableColumn id="2" xr3:uid="{E78D835F-D388-493B-9FD8-61CF779A7024}" name="Amount" dataDxfId="225"/>
    <tableColumn id="3" xr3:uid="{2C2DDB7D-91BD-4AB6-8ADF-000F69892720}" name="Date" dataDxfId="224"/>
    <tableColumn id="4" xr3:uid="{EAE583B3-21BC-4456-816A-B35A4ADAB2D0}" name="Remarks" dataDxfId="223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9DF62A-42E0-4508-BDCB-016D89AB47B8}" name="Table24784" displayName="Table24784" ref="A1:D25" totalsRowShown="0" headerRowDxfId="222">
  <autoFilter ref="A1:D25" xr:uid="{E69632DD-19D7-4B7D-BEF6-E4944C222D41}"/>
  <tableColumns count="4">
    <tableColumn id="1" xr3:uid="{EEB2954F-7E61-48DF-91B9-CB2808C9FD8C}" name="Expenses" dataDxfId="221"/>
    <tableColumn id="2" xr3:uid="{3A321DFE-40C6-4F2A-ACA5-EE413165A8F7}" name="Amount" dataDxfId="220"/>
    <tableColumn id="3" xr3:uid="{F9C59804-4DFA-4E3E-B184-3CADB2FFC874}" name="Date" dataDxfId="219"/>
    <tableColumn id="4" xr3:uid="{118C587B-DEFE-433F-9BEE-9EAA13D21390}" name="Remarks" dataDxfId="218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0EE9740-182D-43C8-8222-F9DFAD1BC2CF}" name="Table24786" displayName="Table24786" ref="A1:D24" totalsRowShown="0" headerRowDxfId="217" dataDxfId="216">
  <autoFilter ref="A1:D24" xr:uid="{E69632DD-19D7-4B7D-BEF6-E4944C222D41}"/>
  <tableColumns count="4">
    <tableColumn id="1" xr3:uid="{52FDA7DC-D90C-4DCB-BCE8-A65EA7A5EF7D}" name="Expenses" dataDxfId="215"/>
    <tableColumn id="2" xr3:uid="{4F4F1E60-D8AB-4D3C-A547-B30A9CFF3131}" name="Amount" dataDxfId="214"/>
    <tableColumn id="3" xr3:uid="{68041774-7F3B-4FEB-9C95-85719A9863EF}" name="Date" dataDxfId="213"/>
    <tableColumn id="4" xr3:uid="{A2927865-417F-42B2-B32D-51091F244473}" name="Remarks" dataDxfId="212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3BF6F8A-56C8-427E-B1C6-ECB1F24F2578}" name="Table247817" displayName="Table247817" ref="A1:D24" totalsRowShown="0" headerRowDxfId="211" dataDxfId="210">
  <autoFilter ref="A1:D24" xr:uid="{E69632DD-19D7-4B7D-BEF6-E4944C222D41}"/>
  <tableColumns count="4">
    <tableColumn id="1" xr3:uid="{5545DCE4-56E4-491A-9E84-99A4B78B4C3E}" name="Expenses" dataDxfId="209"/>
    <tableColumn id="2" xr3:uid="{4792C258-9B25-4E94-8A10-87B239A3CCF2}" name="Amount" dataDxfId="208"/>
    <tableColumn id="3" xr3:uid="{140BBFC0-9A36-44FF-8D8E-C6E4F46EF787}" name="Date" dataDxfId="207"/>
    <tableColumn id="4" xr3:uid="{0017C9DC-A34C-48A7-BF3C-CA4B47D491BA}" name="Remarks" dataDxfId="206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996064C-65D0-4715-8378-7616331F398B}" name="Table247818" displayName="Table247818" ref="A1:D25" totalsRowShown="0" headerRowDxfId="205" dataDxfId="204">
  <autoFilter ref="A1:D25" xr:uid="{E69632DD-19D7-4B7D-BEF6-E4944C222D41}"/>
  <tableColumns count="4">
    <tableColumn id="1" xr3:uid="{2AE00C77-868F-4BB4-B598-D1AE79660742}" name="Expenses" dataDxfId="203"/>
    <tableColumn id="2" xr3:uid="{367A2FBB-C1E3-4069-A8E7-A16684827CCC}" name="Amount" dataDxfId="202"/>
    <tableColumn id="3" xr3:uid="{083B3E52-A3BF-4A20-945E-DFE73A6C377F}" name="Date" dataDxfId="201"/>
    <tableColumn id="4" xr3:uid="{9BCEE7BC-982D-4129-85E6-C2B5AB07E280}" name="Remarks" dataDxfId="200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3445231-88E1-4866-9739-240029B80384}" name="Table247819" displayName="Table247819" ref="A1:D24" totalsRowShown="0" headerRowDxfId="199" dataDxfId="198">
  <autoFilter ref="A1:D24" xr:uid="{E69632DD-19D7-4B7D-BEF6-E4944C222D41}"/>
  <tableColumns count="4">
    <tableColumn id="1" xr3:uid="{DD158184-2E29-4FB9-A49D-AB7EC3F76912}" name="Expenses" dataDxfId="197"/>
    <tableColumn id="2" xr3:uid="{71B46898-3E58-4D15-93EA-A30BE2CA4499}" name="Amount" dataDxfId="196"/>
    <tableColumn id="3" xr3:uid="{3F14A8EC-B803-42DA-BC4B-4AC6AFFC5EEF}" name="Date" dataDxfId="195"/>
    <tableColumn id="4" xr3:uid="{9A5C8028-C8B7-48D5-AE29-B125C6BAE722}" name="Remarks" dataDxfId="194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C400A6B-759A-48E7-A8CD-4D15BDF19712}" name="Table247820" displayName="Table247820" ref="A1:D24" totalsRowShown="0" headerRowDxfId="193" dataDxfId="192">
  <autoFilter ref="A1:D24" xr:uid="{E69632DD-19D7-4B7D-BEF6-E4944C222D41}"/>
  <tableColumns count="4">
    <tableColumn id="1" xr3:uid="{4990E85F-EE6D-4A62-9B4A-2B5D8156F14D}" name="Expenses" dataDxfId="191"/>
    <tableColumn id="2" xr3:uid="{F3F7402E-514B-4200-9BBE-15295161125D}" name="Amount" dataDxfId="190"/>
    <tableColumn id="3" xr3:uid="{0443113A-3C31-4852-A8D4-B5580906377B}" name="Date" dataDxfId="189"/>
    <tableColumn id="4" xr3:uid="{79B6E8F2-BEFD-4E7F-B4AC-F62C2EC901B9}" name="Remarks" dataDxfId="188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7CF0ADB-1B1D-46E6-B502-32C28483E164}" name="Table247812" displayName="Table247812" ref="A1:D27" totalsRowShown="0" headerRowDxfId="187" dataDxfId="186">
  <autoFilter ref="A1:D27" xr:uid="{E69632DD-19D7-4B7D-BEF6-E4944C222D41}"/>
  <tableColumns count="4">
    <tableColumn id="1" xr3:uid="{BCCE1F92-8EC1-469F-8843-36F8533A47A6}" name="Expenses" dataDxfId="185"/>
    <tableColumn id="2" xr3:uid="{DECA49BF-2E7B-480B-B463-622E7358343E}" name="Amount" dataDxfId="184"/>
    <tableColumn id="3" xr3:uid="{62A2D724-2CB3-4760-AF89-333041E0912B}" name="Date" dataDxfId="183"/>
    <tableColumn id="4" xr3:uid="{850E4455-A138-4959-8A4A-D73BEFB2AB14}" name="Remarks" dataDxfId="182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5AD5E46-009C-4A15-ADC7-C2BBA8E2774D}" name="Table247821" displayName="Table247821" ref="A1:D24" totalsRowShown="0" headerRowDxfId="181" dataDxfId="180">
  <autoFilter ref="A1:D24" xr:uid="{E69632DD-19D7-4B7D-BEF6-E4944C222D41}"/>
  <tableColumns count="4">
    <tableColumn id="1" xr3:uid="{FB812C09-6493-4D3B-BA1D-7424636C7BBD}" name="Expenses" dataDxfId="179"/>
    <tableColumn id="2" xr3:uid="{CC04861E-0D64-43B4-8003-39DD819B6C1F}" name="Amount" dataDxfId="178"/>
    <tableColumn id="3" xr3:uid="{8FDDB2C1-506F-4E39-A78E-FDE83C47AE1B}" name="Date" dataDxfId="177"/>
    <tableColumn id="4" xr3:uid="{F66939F8-F00D-4C39-8F02-26370D318676}" name="Remarks" dataDxfId="176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DB0234B-BBBC-49FD-87FC-699EED7CA619}" name="Table247822" displayName="Table247822" ref="A1:D24" totalsRowShown="0" headerRowDxfId="175" dataDxfId="174">
  <autoFilter ref="A1:D24" xr:uid="{E69632DD-19D7-4B7D-BEF6-E4944C222D41}"/>
  <tableColumns count="4">
    <tableColumn id="1" xr3:uid="{F58FE3AF-1054-4FD1-A7B7-EBA00561D64D}" name="Expenses" dataDxfId="173"/>
    <tableColumn id="2" xr3:uid="{10FABBD4-DC6F-43DC-AB3B-64F2B69D3F35}" name="Amount" dataDxfId="172"/>
    <tableColumn id="3" xr3:uid="{50B45A96-1517-42DD-8F94-0241AB2D23F1}" name="Date" dataDxfId="171"/>
    <tableColumn id="4" xr3:uid="{401B00ED-CA79-4EAF-A082-0D1F73BF8571}" name="Remarks" dataDxfId="170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8C6195B-776D-4232-85F6-4AF3EEEC5738}" name="Table247823" displayName="Table247823" ref="A1:D24" totalsRowShown="0" headerRowDxfId="169" dataDxfId="168">
  <autoFilter ref="A1:D24" xr:uid="{E69632DD-19D7-4B7D-BEF6-E4944C222D41}"/>
  <tableColumns count="4">
    <tableColumn id="1" xr3:uid="{FE03D28B-5B6E-4A84-881A-B4EEF5972E87}" name="Expenses" dataDxfId="167"/>
    <tableColumn id="2" xr3:uid="{AD438021-1FF2-47B6-BCA0-3039472079E3}" name="Amount" dataDxfId="166"/>
    <tableColumn id="3" xr3:uid="{2FB3447B-AFFF-4917-AF58-AE00DE49D82F}" name="Date" dataDxfId="165"/>
    <tableColumn id="4" xr3:uid="{C44DAD65-EA13-4D64-9E3F-D47387197C47}" name="Remarks" dataDxfId="164"/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CEA309CB-6D92-4484-ACF2-41FB7F69E8B6}" name="Table247828" displayName="Table247828" ref="A1:D28" totalsRowShown="0" headerRowDxfId="163" dataDxfId="162">
  <autoFilter ref="A1:D28" xr:uid="{E69632DD-19D7-4B7D-BEF6-E4944C222D41}"/>
  <tableColumns count="4">
    <tableColumn id="1" xr3:uid="{8328C038-21E2-4F84-BE6A-2A9EB4DB5AA2}" name="Expenses" dataDxfId="161"/>
    <tableColumn id="2" xr3:uid="{6DE00106-AC65-4F16-B34F-5E13D4FF2C3E}" name="Amount" dataDxfId="160"/>
    <tableColumn id="3" xr3:uid="{D1226BDF-8136-4BC0-A798-F14F01F4ADDE}" name="Date" dataDxfId="159"/>
    <tableColumn id="4" xr3:uid="{F66555A1-242E-492D-B817-2C677299AD87}" name="Remarks" dataDxfId="158"/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2E6F932-5EF6-4426-8C6D-F631A695164D}" name="Table247824" displayName="Table247824" ref="A1:D24" totalsRowShown="0" headerRowDxfId="157" dataDxfId="156">
  <autoFilter ref="A1:D24" xr:uid="{E69632DD-19D7-4B7D-BEF6-E4944C222D41}"/>
  <tableColumns count="4">
    <tableColumn id="1" xr3:uid="{AA5CB7D0-8FDE-42E1-AC05-4DA8A5FB80B4}" name="Expenses" dataDxfId="155"/>
    <tableColumn id="2" xr3:uid="{23D93AED-970E-46E7-BBA5-1140FDFC5F28}" name="Amount" dataDxfId="154"/>
    <tableColumn id="3" xr3:uid="{D8129BA7-4274-4DA2-86CF-DC80B129E914}" name="Date" dataDxfId="153"/>
    <tableColumn id="4" xr3:uid="{B353468A-95D8-4B7D-B27A-C5D3306EF8CB}" name="Remarks" dataDxfId="152"/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5C66621-2B3E-4FFD-B1D7-0470E2941FEC}" name="Table247826" displayName="Table247826" ref="A1:D24" totalsRowShown="0" headerRowDxfId="151" dataDxfId="150">
  <autoFilter ref="A1:D24" xr:uid="{E69632DD-19D7-4B7D-BEF6-E4944C222D41}"/>
  <tableColumns count="4">
    <tableColumn id="1" xr3:uid="{9AB4C0C9-8391-458B-B3C8-0DF1F0081288}" name="Expenses" dataDxfId="149"/>
    <tableColumn id="2" xr3:uid="{424B032A-7D9B-4EF5-B7C3-69A408D46FF7}" name="Amount" dataDxfId="148"/>
    <tableColumn id="3" xr3:uid="{A7182C89-77EE-403A-BA0E-62531E271EDA}" name="Date" dataDxfId="147"/>
    <tableColumn id="4" xr3:uid="{4A36E170-212D-4CDB-A5B8-0367B57BD780}" name="Remarks" dataDxfId="146"/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44B49863-DF5A-4595-8B02-B96AB82FC290}" name="Table247827" displayName="Table247827" ref="A1:D24" totalsRowShown="0" headerRowDxfId="145" dataDxfId="144">
  <autoFilter ref="A1:D24" xr:uid="{E69632DD-19D7-4B7D-BEF6-E4944C222D41}"/>
  <tableColumns count="4">
    <tableColumn id="1" xr3:uid="{9949864D-9800-4E1D-8EAD-AE3077BB9F2B}" name="Expenses" dataDxfId="143"/>
    <tableColumn id="2" xr3:uid="{B0BDE5E1-F41B-4CA6-9002-B46DE86CEE69}" name="Amount" dataDxfId="142"/>
    <tableColumn id="3" xr3:uid="{47306606-8CD4-4E9B-AE31-E810E0BEC5B0}" name="Date" dataDxfId="141"/>
    <tableColumn id="4" xr3:uid="{FE5CD8B1-A5FB-404C-BE38-60BE50355CBF}" name="Remarks" dataDxfId="140"/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E0E1636-B635-4A88-B8DF-7708439B8F4F}" name="Table247831" displayName="Table247831" ref="A1:D24" totalsRowShown="0" headerRowDxfId="139" dataDxfId="138">
  <autoFilter ref="A1:D24" xr:uid="{E69632DD-19D7-4B7D-BEF6-E4944C222D41}"/>
  <tableColumns count="4">
    <tableColumn id="1" xr3:uid="{3CA05511-62D5-4977-A034-ADE90A477285}" name="Expenses" dataDxfId="137"/>
    <tableColumn id="2" xr3:uid="{7D2BE774-48F2-4C99-A4CD-FA1F0BCA735E}" name="Amount" dataDxfId="136"/>
    <tableColumn id="3" xr3:uid="{A465C4A0-1BD8-4366-8190-648165E9D6A3}" name="Date" dataDxfId="135"/>
    <tableColumn id="4" xr3:uid="{2954A761-E2EF-4369-9D31-CE1551722EDE}" name="Remarks" dataDxfId="134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9C431C15-2D8E-4E45-B60F-239B2202A29D}" name="Table247829" displayName="Table247829" ref="A1:D24" totalsRowShown="0" headerRowDxfId="133" dataDxfId="132">
  <autoFilter ref="A1:D24" xr:uid="{E69632DD-19D7-4B7D-BEF6-E4944C222D41}"/>
  <tableColumns count="4">
    <tableColumn id="1" xr3:uid="{A301BF59-C03F-4482-BBEC-95509F704A1A}" name="Expenses" dataDxfId="131"/>
    <tableColumn id="2" xr3:uid="{1CAF777D-70F4-4757-B617-01D21DAE685A}" name="Amount" dataDxfId="130"/>
    <tableColumn id="3" xr3:uid="{55ADC855-AFC7-4EB9-ABFA-0EB27D59DC02}" name="Date" dataDxfId="129"/>
    <tableColumn id="4" xr3:uid="{C2F2A164-CC10-41C5-80BF-8775A903A25E}" name="Remarks" dataDxfId="128"/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25AE764-5818-446E-A152-DC430A83190E}" name="Table247825" displayName="Table247825" ref="A1:D24" totalsRowShown="0" headerRowDxfId="127" dataDxfId="126">
  <autoFilter ref="A1:D24" xr:uid="{E69632DD-19D7-4B7D-BEF6-E4944C222D41}"/>
  <tableColumns count="4">
    <tableColumn id="1" xr3:uid="{4D763CB7-49DC-47E9-8B32-EED23DE8F6C0}" name="Expenses" dataDxfId="125"/>
    <tableColumn id="2" xr3:uid="{4A1AC89F-0BD3-4C53-B5C6-16213FE93A7F}" name="Amount" dataDxfId="124"/>
    <tableColumn id="3" xr3:uid="{52907005-16F1-441C-B25C-F2D7E836628B}" name="Date" dataDxfId="123"/>
    <tableColumn id="4" xr3:uid="{E36DEC5C-C1DA-48CD-9E3E-407BD580814D}" name="Remarks" dataDxfId="122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C777E88-5859-4FAB-9DE0-E44668F2CB62}" name="Table247830" displayName="Table247830" ref="A1:D24" totalsRowShown="0" headerRowDxfId="121" dataDxfId="120">
  <autoFilter ref="A1:D24" xr:uid="{E69632DD-19D7-4B7D-BEF6-E4944C222D41}"/>
  <tableColumns count="4">
    <tableColumn id="1" xr3:uid="{F541B81B-794C-4684-925E-702C8BBF90CD}" name="Expenses" dataDxfId="119"/>
    <tableColumn id="2" xr3:uid="{8A766849-2DAA-44F3-9955-C4F10FEFED8E}" name="Amount" dataDxfId="118"/>
    <tableColumn id="3" xr3:uid="{2211CF80-D123-48A2-AA09-5BFEDB1867A8}" name="Date" dataDxfId="117"/>
    <tableColumn id="4" xr3:uid="{C2ADA826-2E3D-41C3-A6BF-8E6B37EEAD8A}" name="Remarks" dataDxfId="116"/>
  </tableColumns>
  <tableStyleInfo name="TableStyleMedium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5EEED4C-4C88-4BB0-B982-6C052C60B0D2}" name="Table247832" displayName="Table247832" ref="A1:D24" totalsRowShown="0" headerRowDxfId="115" dataDxfId="114">
  <autoFilter ref="A1:D24" xr:uid="{E69632DD-19D7-4B7D-BEF6-E4944C222D41}"/>
  <tableColumns count="4">
    <tableColumn id="1" xr3:uid="{18DDCFDA-F2AE-4092-AC9D-FBA8C0A7C5DB}" name="Expenses" dataDxfId="113"/>
    <tableColumn id="2" xr3:uid="{AFE41262-2B20-4D60-9400-17D746723C39}" name="Amount" dataDxfId="112"/>
    <tableColumn id="3" xr3:uid="{915C47FE-C6A1-4296-9BAD-2883C1D99833}" name="Date" dataDxfId="111"/>
    <tableColumn id="4" xr3:uid="{24EE336F-8A1A-43A0-B682-74442E5E440A}" name="Remarks" dataDxfId="110"/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C4A4DEF6-047D-4F9B-884A-F04725E50494}" name="Table247833" displayName="Table247833" ref="A1:D24" totalsRowShown="0" headerRowDxfId="109" dataDxfId="108">
  <autoFilter ref="A1:D24" xr:uid="{E69632DD-19D7-4B7D-BEF6-E4944C222D41}"/>
  <tableColumns count="4">
    <tableColumn id="1" xr3:uid="{64D3ABFB-4009-4F69-A54E-6E271AAC1BC0}" name="Expenses" dataDxfId="107"/>
    <tableColumn id="2" xr3:uid="{7D8A00C3-9CA7-4E4B-B286-9690C516E30E}" name="Amount" dataDxfId="106"/>
    <tableColumn id="3" xr3:uid="{38451506-0B3D-4C9D-A00C-9090FA226EE0}" name="Date" dataDxfId="105"/>
    <tableColumn id="4" xr3:uid="{51753247-FCFB-450B-9A49-E8E2BEE94FC6}" name="Remarks" dataDxfId="104"/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7CEFD1FC-910F-4753-8CCF-B1001EAEC840}" name="Table247835" displayName="Table247835" ref="A1:D29" totalsRowShown="0" headerRowDxfId="103" dataDxfId="102">
  <autoFilter ref="A1:D29" xr:uid="{E69632DD-19D7-4B7D-BEF6-E4944C222D41}"/>
  <tableColumns count="4">
    <tableColumn id="1" xr3:uid="{412EB587-8E7A-496D-A44B-6150956CACFE}" name="Expenses" dataDxfId="101"/>
    <tableColumn id="2" xr3:uid="{AB02113F-AB05-4E47-A93A-F8AB448AE59B}" name="Amount" dataDxfId="100"/>
    <tableColumn id="3" xr3:uid="{C620FB52-49C1-4CF5-9EAB-52736C6C5A76}" name="Date" dataDxfId="99"/>
    <tableColumn id="4" xr3:uid="{8873CB0D-B592-4648-B559-1E9AA99BCD33}" name="Remarks" dataDxfId="98"/>
  </tableColumns>
  <tableStyleInfo name="TableStyleMedium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A3C12104-F421-4365-A042-AA0417DA7F22}" name="Table247834" displayName="Table247834" ref="A1:D24" totalsRowShown="0" headerRowDxfId="97" dataDxfId="96">
  <autoFilter ref="A1:D24" xr:uid="{E69632DD-19D7-4B7D-BEF6-E4944C222D41}"/>
  <tableColumns count="4">
    <tableColumn id="1" xr3:uid="{22203F09-BE93-436D-8096-544B5579EE23}" name="Expenses" dataDxfId="95"/>
    <tableColumn id="2" xr3:uid="{6A00EFF9-455B-4BFE-9BA9-A89843C658CA}" name="Amount" dataDxfId="94"/>
    <tableColumn id="3" xr3:uid="{5286ACAD-D81B-42CA-A0E8-D66E0C1A8B74}" name="Date" dataDxfId="93"/>
    <tableColumn id="4" xr3:uid="{1362232E-0E81-4C40-99BC-15659F002C56}" name="Remarks" dataDxfId="92"/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711178E-D736-4331-B4F9-5D70E4E940A4}" name="Table247836" displayName="Table247836" ref="A1:D24" totalsRowShown="0" headerRowDxfId="91" dataDxfId="90">
  <autoFilter ref="A1:D24" xr:uid="{E69632DD-19D7-4B7D-BEF6-E4944C222D41}"/>
  <tableColumns count="4">
    <tableColumn id="1" xr3:uid="{2EE4C748-C0F1-4373-ABD7-249A55C99487}" name="Expenses" dataDxfId="89"/>
    <tableColumn id="2" xr3:uid="{AB83BF7B-9ACA-48B6-B388-8536F598D7FF}" name="Amount" dataDxfId="88"/>
    <tableColumn id="3" xr3:uid="{4C64CA32-05D1-49CD-ADE2-2C720D3B2351}" name="Date" dataDxfId="87"/>
    <tableColumn id="4" xr3:uid="{D8AC9120-D476-4497-B81A-74EF0BCAFB3B}" name="Remarks" dataDxfId="86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6A7FB9A-F8DF-4870-85E3-6D8ABA453A9F}" name="Table247837" displayName="Table247837" ref="A1:D24" totalsRowShown="0" headerRowDxfId="85" dataDxfId="84">
  <autoFilter ref="A1:D24" xr:uid="{E69632DD-19D7-4B7D-BEF6-E4944C222D41}"/>
  <tableColumns count="4">
    <tableColumn id="1" xr3:uid="{26366487-0034-4000-A637-5B117EA75026}" name="Expenses" dataDxfId="83"/>
    <tableColumn id="2" xr3:uid="{5B37AB7F-5BB7-4A40-A10E-98625CD14B83}" name="Amount" dataDxfId="82"/>
    <tableColumn id="3" xr3:uid="{B3183319-58B2-418B-9E47-ECE9D7146FFB}" name="Date" dataDxfId="81"/>
    <tableColumn id="4" xr3:uid="{4736BD9C-5EA4-4A21-9490-772DB9138F9B}" name="Remarks" dataDxfId="80"/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D9E50BF7-D79F-438A-915C-CF0A00180E9C}" name="Table247841" displayName="Table247841" ref="A1:D24" totalsRowShown="0" headerRowDxfId="79" dataDxfId="78">
  <autoFilter ref="A1:D24" xr:uid="{E69632DD-19D7-4B7D-BEF6-E4944C222D41}"/>
  <tableColumns count="4">
    <tableColumn id="1" xr3:uid="{79362E35-133A-4A77-A10A-A96E26FB890E}" name="Expenses" dataDxfId="77"/>
    <tableColumn id="2" xr3:uid="{7738C61A-1EF0-4D56-9BB2-651EA5983DC3}" name="Amount" dataDxfId="76"/>
    <tableColumn id="3" xr3:uid="{AB5C2B7A-D675-4B22-A94F-786DF82E21B4}" name="Date" dataDxfId="75"/>
    <tableColumn id="4" xr3:uid="{8F6BCB0B-F8E4-4716-B58B-684010EC5695}" name="Remarks" dataDxfId="74"/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11DBAC2-D8A1-430D-8C94-6AD83BC529B7}" name="Table247838" displayName="Table247838" ref="A1:D25" totalsRowShown="0" headerRowDxfId="73" dataDxfId="72">
  <autoFilter ref="A1:D25" xr:uid="{E69632DD-19D7-4B7D-BEF6-E4944C222D41}"/>
  <tableColumns count="4">
    <tableColumn id="1" xr3:uid="{CA4B7A19-C704-42DA-B1BE-79DB1FC8A8C0}" name="Expenses" dataDxfId="71"/>
    <tableColumn id="2" xr3:uid="{72016215-1D31-40F1-B506-99C164CBBB5B}" name="Amount" dataDxfId="70"/>
    <tableColumn id="3" xr3:uid="{6FACCE8C-EEDA-450F-9AE5-55A1220B774B}" name="Date" dataDxfId="69"/>
    <tableColumn id="4" xr3:uid="{A5E25507-2FDE-4EDA-933F-AD5388562E26}" name="Remarks" dataDxfId="68"/>
  </tableColumns>
  <tableStyleInfo name="TableStyleMedium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7FE58A76-5CF8-405F-8D95-02FD7A7B9488}" name="Table247839" displayName="Table247839" ref="A1:D24" totalsRowShown="0" headerRowDxfId="67" dataDxfId="66">
  <autoFilter ref="A1:D24" xr:uid="{E69632DD-19D7-4B7D-BEF6-E4944C222D41}"/>
  <tableColumns count="4">
    <tableColumn id="1" xr3:uid="{43BF0F49-EEA1-4E97-8626-24616184FC7D}" name="Expenses" dataDxfId="65"/>
    <tableColumn id="2" xr3:uid="{C63E6515-46BE-493D-B5E6-3C56E97C473E}" name="Amount" dataDxfId="64"/>
    <tableColumn id="3" xr3:uid="{57AD92E6-C351-4DEC-8C81-1707D18ACB6E}" name="Date" dataDxfId="63"/>
    <tableColumn id="4" xr3:uid="{BF0F1633-3244-421B-B083-72C2DCA1A2E8}" name="Remarks" dataDxfId="62"/>
  </tableColumns>
  <tableStyleInfo name="TableStyleMedium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D73B6CB-7D69-4E88-BFF0-0423CFB304B3}" name="Table247840" displayName="Table247840" ref="A1:D24" totalsRowShown="0" headerRowDxfId="61" dataDxfId="60">
  <autoFilter ref="A1:D24" xr:uid="{E69632DD-19D7-4B7D-BEF6-E4944C222D41}"/>
  <tableColumns count="4">
    <tableColumn id="1" xr3:uid="{A0F38657-EF12-4FBB-97ED-BBA5CFE7290B}" name="Expenses" dataDxfId="59"/>
    <tableColumn id="2" xr3:uid="{9D339C45-7516-4AD2-9F27-9C97CB14BBD4}" name="Amount" dataDxfId="58"/>
    <tableColumn id="3" xr3:uid="{EF329D64-8158-4810-AFC0-530FD2C149BF}" name="Date" dataDxfId="57"/>
    <tableColumn id="4" xr3:uid="{F2D01F38-BFE5-447A-87BB-831D8ED31EF3}" name="Remarks" dataDxfId="56"/>
  </tableColumns>
  <tableStyleInfo name="TableStyleMedium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7FAADF8E-8095-4D6F-BFAC-A06D05C5CE0D}" name="Table247843" displayName="Table247843" ref="A1:D24" totalsRowShown="0" headerRowDxfId="55" dataDxfId="54">
  <autoFilter ref="A1:D24" xr:uid="{E69632DD-19D7-4B7D-BEF6-E4944C222D41}"/>
  <tableColumns count="4">
    <tableColumn id="1" xr3:uid="{70C4DC08-5890-46A9-969C-6F47A9846CF9}" name="Expenses" dataDxfId="53"/>
    <tableColumn id="2" xr3:uid="{D3B9CEB1-0B24-4491-892A-4A02D2B4D477}" name="Amount" dataDxfId="52"/>
    <tableColumn id="3" xr3:uid="{4C669C4C-53D6-4B52-9074-12C65708A50C}" name="Date" dataDxfId="51"/>
    <tableColumn id="4" xr3:uid="{7C3A3995-AB99-445C-9AA4-22DB9B254226}" name="Remarks" dataDxfId="50"/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A86C849E-B66F-4605-9AA8-0F879AD607A4}" name="Table247847" displayName="Table247847" ref="A1:D24" totalsRowShown="0" headerRowDxfId="49" dataDxfId="48">
  <autoFilter ref="A1:D24" xr:uid="{E69632DD-19D7-4B7D-BEF6-E4944C222D41}"/>
  <tableColumns count="4">
    <tableColumn id="1" xr3:uid="{0A4CD543-0E3A-4C10-85C9-280772376031}" name="Expenses" dataDxfId="47"/>
    <tableColumn id="2" xr3:uid="{EC25CFDA-1667-4ADE-8C49-892AB74BF1A7}" name="Amount" dataDxfId="46"/>
    <tableColumn id="3" xr3:uid="{3D46A28C-1BE2-4A3E-B7AD-AEEC958506EF}" name="Date" dataDxfId="45"/>
    <tableColumn id="4" xr3:uid="{99633FEB-FC15-47FF-A7C7-B812CF9D2762}" name="Remarks" dataDxfId="44"/>
  </tableColumns>
  <tableStyleInfo name="TableStyleMedium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4408FD1C-A84B-447C-BCE8-4D391C7C1A3C}" name="Table247842" displayName="Table247842" ref="A1:D24" totalsRowShown="0" headerRowDxfId="43" dataDxfId="42">
  <autoFilter ref="A1:D24" xr:uid="{E69632DD-19D7-4B7D-BEF6-E4944C222D41}"/>
  <tableColumns count="4">
    <tableColumn id="1" xr3:uid="{DA6FB3F6-4BB7-4D5E-BF52-96091EA9DFEC}" name="Expenses" dataDxfId="41"/>
    <tableColumn id="2" xr3:uid="{D99EBC3F-1B1A-4FEA-8CF0-A860041E4CA4}" name="Amount" dataDxfId="40"/>
    <tableColumn id="3" xr3:uid="{15E494C1-C5B0-4D75-9610-1D5B7CE3C9BF}" name="Date" dataDxfId="39"/>
    <tableColumn id="4" xr3:uid="{1A30AC30-151E-49E2-AA4F-D564FB4AD219}" name="Remarks" dataDxfId="38"/>
  </tableColumns>
  <tableStyleInfo name="TableStyleMedium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CD5DF4DE-ADC6-4E24-9DF5-6BDB5A6E4A1E}" name="Table247844" displayName="Table247844" ref="A1:D24" totalsRowShown="0" headerRowDxfId="37" dataDxfId="36">
  <autoFilter ref="A1:D24" xr:uid="{E69632DD-19D7-4B7D-BEF6-E4944C222D41}"/>
  <tableColumns count="4">
    <tableColumn id="1" xr3:uid="{A748175E-4DD8-4D4D-BE1F-7CA867926C78}" name="Expenses" dataDxfId="35"/>
    <tableColumn id="2" xr3:uid="{048F5EAE-0083-4709-B94B-150F917E5F7A}" name="Amount" dataDxfId="34"/>
    <tableColumn id="3" xr3:uid="{947507BE-DD34-45EB-88D7-ECB4916E8805}" name="Date" dataDxfId="33"/>
    <tableColumn id="4" xr3:uid="{97CC12B5-AE4A-4A08-BA9D-6766E6A05FE7}" name="Remarks" dataDxfId="32"/>
  </tableColumns>
  <tableStyleInfo name="TableStyleMedium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53A787C-07A3-42B9-81BF-8010A1F533B7}" name="Table247845" displayName="Table247845" ref="A1:D24" totalsRowShown="0" headerRowDxfId="31" dataDxfId="30">
  <autoFilter ref="A1:D24" xr:uid="{E69632DD-19D7-4B7D-BEF6-E4944C222D41}"/>
  <tableColumns count="4">
    <tableColumn id="1" xr3:uid="{02014453-CCB4-490F-9A63-33C9026A25D6}" name="Expenses" dataDxfId="29"/>
    <tableColumn id="2" xr3:uid="{3D094F14-D702-480B-8DFE-43001F73D255}" name="Amount" dataDxfId="28"/>
    <tableColumn id="3" xr3:uid="{31AA0196-FBA9-49CE-9A01-A24F4E695284}" name="Date" dataDxfId="27"/>
    <tableColumn id="4" xr3:uid="{5B241A12-A180-44C3-B5FB-5894116C0706}" name="Remarks" dataDxfId="26"/>
  </tableColumns>
  <tableStyleInfo name="TableStyleMedium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B813CAC4-5AE2-46F4-98E8-46FEB604F8AF}" name="Table247848" displayName="Table247848" ref="A1:D24" totalsRowShown="0" headerRowDxfId="25" dataDxfId="24">
  <autoFilter ref="A1:D24" xr:uid="{E69632DD-19D7-4B7D-BEF6-E4944C222D41}"/>
  <tableColumns count="4">
    <tableColumn id="1" xr3:uid="{A44E397C-2138-4C16-ABBC-5B1E75F1E572}" name="Expenses" dataDxfId="23"/>
    <tableColumn id="2" xr3:uid="{385D90DA-6793-4072-8F2C-7CD82299186A}" name="Amount" dataDxfId="22"/>
    <tableColumn id="3" xr3:uid="{0F8F0951-FAF8-4672-9112-7413A87D0AB6}" name="Date" dataDxfId="21"/>
    <tableColumn id="4" xr3:uid="{F312075B-2CB2-4CCC-A88D-C68492C4BE94}" name="Remarks" dataDxfId="20"/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7B931A-347B-42C8-8A5B-198041B8C5F3}" name="Table24787" displayName="Table24787" ref="A1:D46" totalsRowShown="0" headerRowDxfId="19" dataDxfId="18">
  <autoFilter ref="A1:D46" xr:uid="{E69632DD-19D7-4B7D-BEF6-E4944C222D41}"/>
  <tableColumns count="4">
    <tableColumn id="1" xr3:uid="{89C8969B-A289-4090-A07D-F1B4FD53A2E0}" name="Expenses" dataDxfId="17"/>
    <tableColumn id="2" xr3:uid="{631D2EEC-2EEC-4690-96C1-5AEC5B4FD1AB}" name="Amount" dataDxfId="16" dataCellStyle="Currency"/>
    <tableColumn id="3" xr3:uid="{91604B83-516C-4560-90C2-8F9774A89EA0}" name="Date" dataDxfId="15"/>
    <tableColumn id="4" xr3:uid="{A47ECAB7-8035-4CB5-BA6B-DA5E11E74C8F}" name="Remarks" dataDxfId="14"/>
  </tableColumns>
  <tableStyleInfo name="TableStyleMedium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FED89D3-29FE-4A36-B370-9F95E47FDA3D}" name="Table24789" displayName="Table24789" ref="A1:D24" totalsRowShown="0" headerRowDxfId="13" dataDxfId="12">
  <autoFilter ref="A1:D24" xr:uid="{E69632DD-19D7-4B7D-BEF6-E4944C222D41}"/>
  <tableColumns count="4">
    <tableColumn id="1" xr3:uid="{C5D9380A-5E1E-4A13-AF49-893DFED122C4}" name="Expenses" dataDxfId="11"/>
    <tableColumn id="2" xr3:uid="{FA517473-DC6E-47DE-9812-7C7F33C988C7}" name="Amount" dataDxfId="10"/>
    <tableColumn id="3" xr3:uid="{9D994EBB-FCC1-4AA8-8174-3B1D2F07A86B}" name="Date" dataDxfId="9"/>
    <tableColumn id="4" xr3:uid="{3364E2F9-FC0C-4A7A-BEF5-F19493272005}" name="Remarks" dataDxfId="8"/>
  </tableColumns>
  <tableStyleInfo name="TableStyleMedium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E6E8E13-15B6-4EB7-861F-4365C1FA5E2B}" name="Table247810" displayName="Table247810" ref="A1:D24" totalsRowShown="0" headerRowDxfId="7" dataDxfId="6">
  <autoFilter ref="A1:D24" xr:uid="{E69632DD-19D7-4B7D-BEF6-E4944C222D41}"/>
  <tableColumns count="4">
    <tableColumn id="1" xr3:uid="{ED741ABB-10F5-4C01-BA9F-E2DED57F7D26}" name="Expenses" dataDxfId="5"/>
    <tableColumn id="2" xr3:uid="{AC68C7C3-0AC6-4464-AA0A-EE6C11B74D98}" name="Amount" dataDxfId="4"/>
    <tableColumn id="3" xr3:uid="{4737AC8A-B40A-44A4-AEB0-802E97138F73}" name="Date" dataDxfId="3"/>
    <tableColumn id="4" xr3:uid="{E83751DD-FC98-479F-A9CF-D1341174396C}" name="Remarks" dataDxfId="2"/>
  </tableColumns>
  <tableStyleInfo name="TableStyleMedium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844BF222-4F84-4ADA-A51A-E198D30F12D7}" name="ExpenseDataTable" displayName="ExpenseDataTable" ref="A1:E831" totalsRowShown="0">
  <autoFilter ref="A1:E831" xr:uid="{844BF222-4F84-4ADA-A51A-E198D30F12D7}"/>
  <sortState xmlns:xlrd2="http://schemas.microsoft.com/office/spreadsheetml/2017/richdata2" ref="A2:E670">
    <sortCondition ref="D2:D670"/>
  </sortState>
  <tableColumns count="5">
    <tableColumn id="1" xr3:uid="{B1317513-3D37-4656-9BA1-847DA5ABA13D}" name="SheetName" dataDxfId="1"/>
    <tableColumn id="2" xr3:uid="{88B71B6A-43AD-4AB5-9E7C-81C6FF732FB8}" name="Expenses"/>
    <tableColumn id="3" xr3:uid="{7A93AD3D-7CFB-4574-B814-75DC6B68D893}" name="Amount"/>
    <tableColumn id="4" xr3:uid="{E64E1C03-7ED3-433A-A568-5CB22AF34B82}" name="SortKey" dataDxfId="0"/>
    <tableColumn id="5" xr3:uid="{40C77DFB-32BC-42D7-9CAF-9708680EEF54}" name="Sorted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8303B-7839-4AF5-B890-74982D86E63D}">
  <sheetPr codeName="Sheet1"/>
  <dimension ref="A1:A98"/>
  <sheetViews>
    <sheetView topLeftCell="A78" zoomScale="105" workbookViewId="0">
      <selection activeCell="N95" sqref="N95"/>
    </sheetView>
  </sheetViews>
  <sheetFormatPr defaultColWidth="9.140625" defaultRowHeight="18" x14ac:dyDescent="0.35"/>
  <cols>
    <col min="1" max="1" width="20.42578125" style="3" bestFit="1" customWidth="1"/>
    <col min="2" max="16384" width="9.140625" style="3"/>
  </cols>
  <sheetData>
    <row r="1" spans="1:1" x14ac:dyDescent="0.35">
      <c r="A1" s="3" t="s">
        <v>0</v>
      </c>
    </row>
    <row r="2" spans="1:1" x14ac:dyDescent="0.35">
      <c r="A2" s="3" t="s">
        <v>1</v>
      </c>
    </row>
    <row r="3" spans="1:1" x14ac:dyDescent="0.35">
      <c r="A3" s="3" t="s">
        <v>2</v>
      </c>
    </row>
    <row r="4" spans="1:1" x14ac:dyDescent="0.35">
      <c r="A4" s="3" t="s">
        <v>3</v>
      </c>
    </row>
    <row r="5" spans="1:1" x14ac:dyDescent="0.35">
      <c r="A5" s="3" t="s">
        <v>4</v>
      </c>
    </row>
    <row r="6" spans="1:1" x14ac:dyDescent="0.35">
      <c r="A6" s="3" t="s">
        <v>5</v>
      </c>
    </row>
    <row r="7" spans="1:1" x14ac:dyDescent="0.35">
      <c r="A7" s="3" t="s">
        <v>6</v>
      </c>
    </row>
    <row r="8" spans="1:1" x14ac:dyDescent="0.35">
      <c r="A8" s="3" t="s">
        <v>7</v>
      </c>
    </row>
    <row r="9" spans="1:1" x14ac:dyDescent="0.35">
      <c r="A9" s="3" t="s">
        <v>8</v>
      </c>
    </row>
    <row r="10" spans="1:1" x14ac:dyDescent="0.35">
      <c r="A10" s="3" t="s">
        <v>9</v>
      </c>
    </row>
    <row r="11" spans="1:1" x14ac:dyDescent="0.35">
      <c r="A11" s="3" t="s">
        <v>10</v>
      </c>
    </row>
    <row r="12" spans="1:1" x14ac:dyDescent="0.35">
      <c r="A12" s="3" t="s">
        <v>11</v>
      </c>
    </row>
    <row r="13" spans="1:1" x14ac:dyDescent="0.35">
      <c r="A13" s="3" t="s">
        <v>11</v>
      </c>
    </row>
    <row r="14" spans="1:1" x14ac:dyDescent="0.35">
      <c r="A14" s="3" t="s">
        <v>12</v>
      </c>
    </row>
    <row r="15" spans="1:1" x14ac:dyDescent="0.35">
      <c r="A15" s="3" t="s">
        <v>13</v>
      </c>
    </row>
    <row r="16" spans="1:1" x14ac:dyDescent="0.35">
      <c r="A16" s="3" t="s">
        <v>14</v>
      </c>
    </row>
    <row r="17" spans="1:1" x14ac:dyDescent="0.35">
      <c r="A17" s="3" t="s">
        <v>15</v>
      </c>
    </row>
    <row r="18" spans="1:1" x14ac:dyDescent="0.35">
      <c r="A18" s="3" t="s">
        <v>16</v>
      </c>
    </row>
    <row r="19" spans="1:1" x14ac:dyDescent="0.35">
      <c r="A19" s="3" t="s">
        <v>17</v>
      </c>
    </row>
    <row r="20" spans="1:1" x14ac:dyDescent="0.35">
      <c r="A20" s="3" t="s">
        <v>18</v>
      </c>
    </row>
    <row r="21" spans="1:1" x14ac:dyDescent="0.35">
      <c r="A21" s="3" t="s">
        <v>19</v>
      </c>
    </row>
    <row r="22" spans="1:1" x14ac:dyDescent="0.35">
      <c r="A22" s="3" t="s">
        <v>20</v>
      </c>
    </row>
    <row r="23" spans="1:1" x14ac:dyDescent="0.35">
      <c r="A23" s="3" t="s">
        <v>21</v>
      </c>
    </row>
    <row r="24" spans="1:1" x14ac:dyDescent="0.35">
      <c r="A24" s="3" t="s">
        <v>22</v>
      </c>
    </row>
    <row r="25" spans="1:1" x14ac:dyDescent="0.35">
      <c r="A25" s="3" t="s">
        <v>23</v>
      </c>
    </row>
    <row r="26" spans="1:1" x14ac:dyDescent="0.35">
      <c r="A26" s="3" t="s">
        <v>24</v>
      </c>
    </row>
    <row r="27" spans="1:1" x14ac:dyDescent="0.35">
      <c r="A27" s="3" t="s">
        <v>25</v>
      </c>
    </row>
    <row r="28" spans="1:1" x14ac:dyDescent="0.35">
      <c r="A28" s="3" t="s">
        <v>26</v>
      </c>
    </row>
    <row r="29" spans="1:1" x14ac:dyDescent="0.35">
      <c r="A29" s="3" t="s">
        <v>27</v>
      </c>
    </row>
    <row r="30" spans="1:1" x14ac:dyDescent="0.35">
      <c r="A30" s="3" t="s">
        <v>28</v>
      </c>
    </row>
    <row r="31" spans="1:1" x14ac:dyDescent="0.35">
      <c r="A31" s="3" t="s">
        <v>29</v>
      </c>
    </row>
    <row r="32" spans="1:1" x14ac:dyDescent="0.35">
      <c r="A32" s="3" t="s">
        <v>30</v>
      </c>
    </row>
    <row r="33" spans="1:1" x14ac:dyDescent="0.35">
      <c r="A33" s="3" t="s">
        <v>31</v>
      </c>
    </row>
    <row r="34" spans="1:1" x14ac:dyDescent="0.35">
      <c r="A34" s="3" t="s">
        <v>32</v>
      </c>
    </row>
    <row r="35" spans="1:1" x14ac:dyDescent="0.35">
      <c r="A35" s="3" t="s">
        <v>33</v>
      </c>
    </row>
    <row r="36" spans="1:1" x14ac:dyDescent="0.35">
      <c r="A36" s="3" t="s">
        <v>34</v>
      </c>
    </row>
    <row r="37" spans="1:1" x14ac:dyDescent="0.35">
      <c r="A37" s="3" t="s">
        <v>35</v>
      </c>
    </row>
    <row r="38" spans="1:1" x14ac:dyDescent="0.35">
      <c r="A38" s="3" t="s">
        <v>36</v>
      </c>
    </row>
    <row r="39" spans="1:1" x14ac:dyDescent="0.35">
      <c r="A39" s="3" t="s">
        <v>37</v>
      </c>
    </row>
    <row r="40" spans="1:1" x14ac:dyDescent="0.35">
      <c r="A40" s="3" t="s">
        <v>38</v>
      </c>
    </row>
    <row r="41" spans="1:1" x14ac:dyDescent="0.35">
      <c r="A41" s="3" t="s">
        <v>39</v>
      </c>
    </row>
    <row r="42" spans="1:1" x14ac:dyDescent="0.35">
      <c r="A42" s="3" t="s">
        <v>40</v>
      </c>
    </row>
    <row r="43" spans="1:1" x14ac:dyDescent="0.35">
      <c r="A43" s="3" t="s">
        <v>41</v>
      </c>
    </row>
    <row r="44" spans="1:1" x14ac:dyDescent="0.35">
      <c r="A44" s="3" t="s">
        <v>42</v>
      </c>
    </row>
    <row r="45" spans="1:1" x14ac:dyDescent="0.35">
      <c r="A45" s="3" t="s">
        <v>43</v>
      </c>
    </row>
    <row r="46" spans="1:1" x14ac:dyDescent="0.35">
      <c r="A46" s="3" t="s">
        <v>44</v>
      </c>
    </row>
    <row r="47" spans="1:1" x14ac:dyDescent="0.35">
      <c r="A47" s="3" t="s">
        <v>45</v>
      </c>
    </row>
    <row r="48" spans="1:1" x14ac:dyDescent="0.35">
      <c r="A48" s="3" t="s">
        <v>46</v>
      </c>
    </row>
    <row r="49" spans="1:1" x14ac:dyDescent="0.35">
      <c r="A49" s="3" t="s">
        <v>47</v>
      </c>
    </row>
    <row r="50" spans="1:1" x14ac:dyDescent="0.35">
      <c r="A50" s="3" t="s">
        <v>48</v>
      </c>
    </row>
    <row r="51" spans="1:1" x14ac:dyDescent="0.35">
      <c r="A51" s="3" t="s">
        <v>49</v>
      </c>
    </row>
    <row r="52" spans="1:1" x14ac:dyDescent="0.35">
      <c r="A52" s="3" t="s">
        <v>50</v>
      </c>
    </row>
    <row r="53" spans="1:1" x14ac:dyDescent="0.35">
      <c r="A53" s="3" t="s">
        <v>51</v>
      </c>
    </row>
    <row r="54" spans="1:1" x14ac:dyDescent="0.35">
      <c r="A54" s="3" t="s">
        <v>52</v>
      </c>
    </row>
    <row r="55" spans="1:1" x14ac:dyDescent="0.35">
      <c r="A55" s="3" t="s">
        <v>53</v>
      </c>
    </row>
    <row r="56" spans="1:1" x14ac:dyDescent="0.35">
      <c r="A56" s="3" t="s">
        <v>738</v>
      </c>
    </row>
    <row r="57" spans="1:1" x14ac:dyDescent="0.35">
      <c r="A57" s="3" t="s">
        <v>54</v>
      </c>
    </row>
    <row r="58" spans="1:1" x14ac:dyDescent="0.35">
      <c r="A58" s="3" t="s">
        <v>55</v>
      </c>
    </row>
    <row r="59" spans="1:1" x14ac:dyDescent="0.35">
      <c r="A59" s="3" t="s">
        <v>56</v>
      </c>
    </row>
    <row r="60" spans="1:1" x14ac:dyDescent="0.35">
      <c r="A60" s="3" t="s">
        <v>736</v>
      </c>
    </row>
    <row r="61" spans="1:1" x14ac:dyDescent="0.35">
      <c r="A61" s="3" t="s">
        <v>57</v>
      </c>
    </row>
    <row r="62" spans="1:1" x14ac:dyDescent="0.35">
      <c r="A62" s="3" t="s">
        <v>58</v>
      </c>
    </row>
    <row r="63" spans="1:1" x14ac:dyDescent="0.35">
      <c r="A63" s="3" t="s">
        <v>59</v>
      </c>
    </row>
    <row r="64" spans="1:1" x14ac:dyDescent="0.35">
      <c r="A64" s="3" t="s">
        <v>60</v>
      </c>
    </row>
    <row r="65" spans="1:1" x14ac:dyDescent="0.35">
      <c r="A65" s="3" t="s">
        <v>61</v>
      </c>
    </row>
    <row r="66" spans="1:1" x14ac:dyDescent="0.35">
      <c r="A66" s="3" t="s">
        <v>62</v>
      </c>
    </row>
    <row r="67" spans="1:1" x14ac:dyDescent="0.35">
      <c r="A67" s="3" t="s">
        <v>63</v>
      </c>
    </row>
    <row r="68" spans="1:1" x14ac:dyDescent="0.35">
      <c r="A68" s="3" t="s">
        <v>64</v>
      </c>
    </row>
    <row r="69" spans="1:1" x14ac:dyDescent="0.35">
      <c r="A69" s="3" t="s">
        <v>65</v>
      </c>
    </row>
    <row r="70" spans="1:1" x14ac:dyDescent="0.35">
      <c r="A70" s="3" t="s">
        <v>65</v>
      </c>
    </row>
    <row r="71" spans="1:1" x14ac:dyDescent="0.35">
      <c r="A71" s="3" t="s">
        <v>66</v>
      </c>
    </row>
    <row r="72" spans="1:1" x14ac:dyDescent="0.35">
      <c r="A72" s="3" t="s">
        <v>67</v>
      </c>
    </row>
    <row r="73" spans="1:1" x14ac:dyDescent="0.35">
      <c r="A73" s="3" t="s">
        <v>68</v>
      </c>
    </row>
    <row r="74" spans="1:1" x14ac:dyDescent="0.35">
      <c r="A74" s="3" t="s">
        <v>69</v>
      </c>
    </row>
    <row r="75" spans="1:1" x14ac:dyDescent="0.35">
      <c r="A75" s="3" t="s">
        <v>70</v>
      </c>
    </row>
    <row r="76" spans="1:1" x14ac:dyDescent="0.35">
      <c r="A76" s="3" t="s">
        <v>71</v>
      </c>
    </row>
    <row r="77" spans="1:1" x14ac:dyDescent="0.35">
      <c r="A77" s="3" t="s">
        <v>72</v>
      </c>
    </row>
    <row r="78" spans="1:1" x14ac:dyDescent="0.35">
      <c r="A78" s="30" t="s">
        <v>73</v>
      </c>
    </row>
    <row r="79" spans="1:1" x14ac:dyDescent="0.35">
      <c r="A79" s="3" t="s">
        <v>74</v>
      </c>
    </row>
    <row r="80" spans="1:1" x14ac:dyDescent="0.35">
      <c r="A80" s="3" t="s">
        <v>75</v>
      </c>
    </row>
    <row r="81" spans="1:1" x14ac:dyDescent="0.35">
      <c r="A81" s="3" t="s">
        <v>76</v>
      </c>
    </row>
    <row r="82" spans="1:1" x14ac:dyDescent="0.35">
      <c r="A82" s="3" t="s">
        <v>77</v>
      </c>
    </row>
    <row r="83" spans="1:1" x14ac:dyDescent="0.35">
      <c r="A83" s="3" t="s">
        <v>78</v>
      </c>
    </row>
    <row r="84" spans="1:1" x14ac:dyDescent="0.35">
      <c r="A84" s="3" t="s">
        <v>79</v>
      </c>
    </row>
    <row r="85" spans="1:1" x14ac:dyDescent="0.35">
      <c r="A85" s="3" t="s">
        <v>80</v>
      </c>
    </row>
    <row r="86" spans="1:1" x14ac:dyDescent="0.35">
      <c r="A86" s="3" t="s">
        <v>81</v>
      </c>
    </row>
    <row r="87" spans="1:1" x14ac:dyDescent="0.35">
      <c r="A87" s="3" t="s">
        <v>82</v>
      </c>
    </row>
    <row r="88" spans="1:1" x14ac:dyDescent="0.35">
      <c r="A88" s="3" t="s">
        <v>83</v>
      </c>
    </row>
    <row r="89" spans="1:1" x14ac:dyDescent="0.35">
      <c r="A89" s="3" t="s">
        <v>84</v>
      </c>
    </row>
    <row r="90" spans="1:1" x14ac:dyDescent="0.35">
      <c r="A90" s="3" t="s">
        <v>85</v>
      </c>
    </row>
    <row r="91" spans="1:1" x14ac:dyDescent="0.35">
      <c r="A91" s="3" t="s">
        <v>86</v>
      </c>
    </row>
    <row r="92" spans="1:1" x14ac:dyDescent="0.35">
      <c r="A92" s="3" t="s">
        <v>87</v>
      </c>
    </row>
    <row r="93" spans="1:1" x14ac:dyDescent="0.35">
      <c r="A93" s="3" t="s">
        <v>88</v>
      </c>
    </row>
    <row r="94" spans="1:1" x14ac:dyDescent="0.35">
      <c r="A94" s="3" t="s">
        <v>89</v>
      </c>
    </row>
    <row r="95" spans="1:1" x14ac:dyDescent="0.35">
      <c r="A95" s="3" t="s">
        <v>90</v>
      </c>
    </row>
    <row r="96" spans="1:1" x14ac:dyDescent="0.35">
      <c r="A96" s="3" t="s">
        <v>91</v>
      </c>
    </row>
    <row r="97" spans="1:1" x14ac:dyDescent="0.35">
      <c r="A97" s="3" t="s">
        <v>92</v>
      </c>
    </row>
    <row r="98" spans="1:1" x14ac:dyDescent="0.35">
      <c r="A98" s="3" t="s">
        <v>93</v>
      </c>
    </row>
  </sheetData>
  <sortState xmlns:xlrd2="http://schemas.microsoft.com/office/spreadsheetml/2017/richdata2" ref="A1:A98">
    <sortCondition ref="A78:A9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C5087-5BE8-4973-9A0D-20EC91D6BBE1}">
  <sheetPr codeName="Sheet4"/>
  <dimension ref="A1"/>
  <sheetViews>
    <sheetView zoomScale="70" zoomScaleNormal="100" workbookViewId="0">
      <selection activeCell="F83" sqref="F83"/>
    </sheetView>
  </sheetViews>
  <sheetFormatPr defaultRowHeight="15" x14ac:dyDescent="0.25"/>
  <cols>
    <col min="1" max="1" width="13.42578125" bestFit="1" customWidth="1"/>
    <col min="2" max="2" width="14.85546875" bestFit="1" customWidth="1"/>
    <col min="3" max="3" width="13.5703125" bestFit="1" customWidth="1"/>
    <col min="6" max="6" width="15.5703125" bestFit="1" customWidth="1"/>
    <col min="7" max="7" width="14.85546875" bestFit="1" customWidth="1"/>
    <col min="18" max="18" width="20.28515625" bestFit="1" customWidth="1"/>
    <col min="19" max="19" width="11.85546875" bestFit="1" customWidth="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2FFCF-C6F4-445E-BB37-1E4FAEF548CF}">
  <sheetPr codeName="Sheet3"/>
  <dimension ref="A1:G24"/>
  <sheetViews>
    <sheetView zoomScale="115" zoomScaleNormal="115" workbookViewId="0">
      <selection activeCell="G24" sqref="G24"/>
    </sheetView>
  </sheetViews>
  <sheetFormatPr defaultColWidth="9.140625" defaultRowHeight="18" x14ac:dyDescent="0.35"/>
  <cols>
    <col min="1" max="1" width="13" style="3" bestFit="1" customWidth="1"/>
    <col min="2" max="2" width="13.140625" style="14" bestFit="1" customWidth="1"/>
    <col min="3" max="3" width="11.85546875" style="3" bestFit="1" customWidth="1"/>
    <col min="4" max="4" width="56.285156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45729</v>
      </c>
    </row>
    <row r="2" spans="1:7" x14ac:dyDescent="0.35">
      <c r="A2" s="3" t="s">
        <v>87</v>
      </c>
      <c r="B2" s="13">
        <v>6000</v>
      </c>
      <c r="C2" s="30" t="s">
        <v>99</v>
      </c>
      <c r="D2" s="3" t="s">
        <v>100</v>
      </c>
    </row>
    <row r="3" spans="1:7" x14ac:dyDescent="0.35">
      <c r="A3" s="3" t="s">
        <v>87</v>
      </c>
      <c r="B3" s="13">
        <v>5000</v>
      </c>
      <c r="C3" s="30" t="s">
        <v>99</v>
      </c>
      <c r="D3" s="3" t="s">
        <v>101</v>
      </c>
    </row>
    <row r="4" spans="1:7" x14ac:dyDescent="0.35">
      <c r="A4" s="3" t="s">
        <v>19</v>
      </c>
      <c r="B4" s="13">
        <v>3093.02</v>
      </c>
      <c r="C4" s="30" t="s">
        <v>99</v>
      </c>
      <c r="D4" s="3" t="s">
        <v>102</v>
      </c>
    </row>
    <row r="5" spans="1:7" x14ac:dyDescent="0.35">
      <c r="A5" s="3" t="s">
        <v>68</v>
      </c>
      <c r="B5" s="13">
        <v>-3093.02</v>
      </c>
      <c r="C5" s="30" t="s">
        <v>99</v>
      </c>
      <c r="D5" s="3" t="s">
        <v>103</v>
      </c>
    </row>
    <row r="6" spans="1:7" x14ac:dyDescent="0.35">
      <c r="A6" s="3" t="s">
        <v>72</v>
      </c>
      <c r="B6" s="13">
        <v>-2000</v>
      </c>
      <c r="C6" s="30">
        <v>45729</v>
      </c>
      <c r="D6" s="3" t="s">
        <v>104</v>
      </c>
    </row>
    <row r="7" spans="1:7" x14ac:dyDescent="0.35">
      <c r="A7" s="3" t="s">
        <v>72</v>
      </c>
      <c r="B7" s="13">
        <v>-2100</v>
      </c>
      <c r="C7" s="30">
        <v>45743</v>
      </c>
      <c r="D7" s="3" t="s">
        <v>105</v>
      </c>
    </row>
    <row r="8" spans="1:7" x14ac:dyDescent="0.35">
      <c r="A8" s="3" t="s">
        <v>72</v>
      </c>
      <c r="B8" s="13">
        <v>-5000</v>
      </c>
      <c r="C8" s="20">
        <v>45749</v>
      </c>
      <c r="D8" s="3" t="s">
        <v>106</v>
      </c>
    </row>
    <row r="9" spans="1:7" x14ac:dyDescent="0.35">
      <c r="A9" s="3" t="s">
        <v>59</v>
      </c>
      <c r="B9" s="13">
        <v>-2000</v>
      </c>
      <c r="C9" s="30">
        <v>45749</v>
      </c>
      <c r="D9" s="3" t="s">
        <v>107</v>
      </c>
    </row>
    <row r="10" spans="1:7" x14ac:dyDescent="0.35">
      <c r="A10" s="3" t="s">
        <v>72</v>
      </c>
      <c r="B10" s="13">
        <v>-3000</v>
      </c>
      <c r="C10" s="30">
        <v>45761</v>
      </c>
      <c r="D10" s="3" t="s">
        <v>108</v>
      </c>
    </row>
    <row r="11" spans="1:7" x14ac:dyDescent="0.35">
      <c r="A11" s="3" t="s">
        <v>72</v>
      </c>
      <c r="B11" s="13">
        <v>-5000</v>
      </c>
      <c r="C11" s="30">
        <v>45763</v>
      </c>
      <c r="D11" s="3" t="s">
        <v>109</v>
      </c>
    </row>
    <row r="12" spans="1:7" x14ac:dyDescent="0.35">
      <c r="A12" s="3" t="s">
        <v>72</v>
      </c>
      <c r="B12" s="13">
        <v>-3000</v>
      </c>
      <c r="C12" s="30">
        <v>45771</v>
      </c>
      <c r="D12" s="3" t="s">
        <v>110</v>
      </c>
    </row>
    <row r="13" spans="1:7" x14ac:dyDescent="0.35">
      <c r="A13" s="3" t="s">
        <v>72</v>
      </c>
      <c r="B13" s="13">
        <v>-2000</v>
      </c>
      <c r="C13" s="30">
        <v>45778</v>
      </c>
      <c r="D13" s="3" t="s">
        <v>111</v>
      </c>
    </row>
    <row r="14" spans="1:7" x14ac:dyDescent="0.35">
      <c r="A14" s="3" t="s">
        <v>59</v>
      </c>
      <c r="B14" s="13">
        <v>-1000</v>
      </c>
      <c r="C14" s="30">
        <v>45786</v>
      </c>
      <c r="D14" s="3" t="s">
        <v>112</v>
      </c>
    </row>
    <row r="15" spans="1:7" x14ac:dyDescent="0.35">
      <c r="A15" s="3" t="s">
        <v>72</v>
      </c>
      <c r="B15" s="13">
        <v>-2000</v>
      </c>
      <c r="C15" s="30">
        <v>45799</v>
      </c>
      <c r="D15" s="3" t="s">
        <v>113</v>
      </c>
    </row>
    <row r="16" spans="1:7" x14ac:dyDescent="0.35">
      <c r="A16" s="3" t="s">
        <v>72</v>
      </c>
      <c r="B16" s="13">
        <v>-2500</v>
      </c>
      <c r="C16" s="30">
        <v>45804</v>
      </c>
      <c r="D16" s="3" t="s">
        <v>114</v>
      </c>
    </row>
    <row r="17" spans="1:4" x14ac:dyDescent="0.35">
      <c r="A17" s="3" t="s">
        <v>72</v>
      </c>
      <c r="B17" s="13">
        <v>-2000</v>
      </c>
      <c r="C17" s="30">
        <v>45822</v>
      </c>
      <c r="D17" s="3" t="s">
        <v>115</v>
      </c>
    </row>
    <row r="18" spans="1:4" x14ac:dyDescent="0.35">
      <c r="A18" s="3" t="s">
        <v>87</v>
      </c>
      <c r="B18" s="13">
        <v>14000</v>
      </c>
      <c r="C18" s="30">
        <v>45828</v>
      </c>
      <c r="D18" s="3" t="s">
        <v>116</v>
      </c>
    </row>
    <row r="19" spans="1:4" x14ac:dyDescent="0.35">
      <c r="A19" s="3" t="s">
        <v>87</v>
      </c>
      <c r="B19" s="13">
        <v>6500</v>
      </c>
      <c r="C19" s="30">
        <v>45833</v>
      </c>
      <c r="D19" s="3" t="s">
        <v>117</v>
      </c>
    </row>
    <row r="20" spans="1:4" x14ac:dyDescent="0.35">
      <c r="A20" s="3" t="s">
        <v>87</v>
      </c>
      <c r="B20" s="13">
        <v>2000</v>
      </c>
      <c r="C20" s="30">
        <v>45836</v>
      </c>
      <c r="D20" s="3" t="s">
        <v>118</v>
      </c>
    </row>
    <row r="21" spans="1:4" x14ac:dyDescent="0.35">
      <c r="A21" s="3" t="s">
        <v>78</v>
      </c>
      <c r="B21" s="13">
        <v>20000</v>
      </c>
      <c r="C21" s="30">
        <v>45836</v>
      </c>
      <c r="D21" s="3" t="s">
        <v>119</v>
      </c>
    </row>
    <row r="22" spans="1:4" x14ac:dyDescent="0.35">
      <c r="A22" s="3" t="s">
        <v>78</v>
      </c>
      <c r="B22" s="13">
        <v>1000</v>
      </c>
      <c r="C22" s="30">
        <v>45836</v>
      </c>
      <c r="D22" s="3" t="s">
        <v>120</v>
      </c>
    </row>
    <row r="23" spans="1:4" x14ac:dyDescent="0.35">
      <c r="C23" s="30"/>
    </row>
    <row r="24" spans="1:4" x14ac:dyDescent="0.35">
      <c r="C24" s="30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90F9E4-A056-4875-BA1B-30ADA51A1C72}">
          <x14:formula1>
            <xm:f>'Dropdown Expenses'!$A:$A</xm:f>
          </x14:formula1>
          <xm:sqref>A23:A1048576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91BB4-B456-49EE-A6B5-37A4E924D27C}">
  <sheetPr codeName="Sheet7"/>
  <dimension ref="A1:G24"/>
  <sheetViews>
    <sheetView zoomScale="151" workbookViewId="0">
      <selection activeCell="D21" sqref="D21"/>
    </sheetView>
  </sheetViews>
  <sheetFormatPr defaultColWidth="9.140625" defaultRowHeight="18" x14ac:dyDescent="0.35"/>
  <cols>
    <col min="1" max="1" width="11.28515625" style="3" customWidth="1"/>
    <col min="2" max="2" width="11.7109375" style="14" bestFit="1" customWidth="1"/>
    <col min="3" max="3" width="9.42578125" style="3" bestFit="1" customWidth="1"/>
    <col min="4" max="4" width="19.710937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45729</v>
      </c>
    </row>
    <row r="2" spans="1:7" x14ac:dyDescent="0.35">
      <c r="C2" s="30"/>
    </row>
    <row r="3" spans="1:7" x14ac:dyDescent="0.35">
      <c r="C3" s="30"/>
    </row>
    <row r="4" spans="1:7" x14ac:dyDescent="0.35">
      <c r="C4" s="30"/>
    </row>
    <row r="5" spans="1:7" x14ac:dyDescent="0.35">
      <c r="C5" s="30"/>
    </row>
    <row r="6" spans="1:7" x14ac:dyDescent="0.35">
      <c r="C6" s="30"/>
    </row>
    <row r="7" spans="1:7" x14ac:dyDescent="0.35">
      <c r="C7" s="30"/>
    </row>
    <row r="8" spans="1:7" x14ac:dyDescent="0.35">
      <c r="C8" s="30"/>
    </row>
    <row r="9" spans="1:7" x14ac:dyDescent="0.35">
      <c r="C9" s="30"/>
    </row>
    <row r="10" spans="1:7" x14ac:dyDescent="0.35">
      <c r="C10" s="30"/>
    </row>
    <row r="11" spans="1:7" x14ac:dyDescent="0.35">
      <c r="C11" s="30"/>
    </row>
    <row r="12" spans="1:7" x14ac:dyDescent="0.35">
      <c r="C12" s="30"/>
    </row>
    <row r="13" spans="1:7" x14ac:dyDescent="0.35">
      <c r="C13" s="30"/>
    </row>
    <row r="14" spans="1:7" x14ac:dyDescent="0.35">
      <c r="C14" s="30"/>
    </row>
    <row r="15" spans="1:7" x14ac:dyDescent="0.35">
      <c r="C15" s="30"/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B8764A4-8318-457A-9791-8BC12C10DBD9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D1C62-1C29-4F97-951F-0D2E12D18C6A}">
  <sheetPr codeName="Sheet2"/>
  <dimension ref="A1:Q45"/>
  <sheetViews>
    <sheetView tabSelected="1" topLeftCell="A14" zoomScale="170" zoomScaleNormal="175" workbookViewId="0">
      <selection activeCell="J5" sqref="J5"/>
    </sheetView>
  </sheetViews>
  <sheetFormatPr defaultColWidth="9.140625" defaultRowHeight="18" x14ac:dyDescent="0.35"/>
  <cols>
    <col min="1" max="1" width="27.140625" style="3" bestFit="1" customWidth="1"/>
    <col min="2" max="2" width="13.140625" style="13" bestFit="1" customWidth="1"/>
    <col min="3" max="3" width="17.5703125" style="13" customWidth="1"/>
    <col min="4" max="4" width="17.140625" style="3" customWidth="1"/>
    <col min="5" max="5" width="13.42578125" style="13" bestFit="1" customWidth="1"/>
    <col min="6" max="6" width="14.42578125" style="13" bestFit="1" customWidth="1"/>
    <col min="7" max="7" width="14.42578125" style="13" customWidth="1"/>
    <col min="8" max="8" width="13" style="3" bestFit="1" customWidth="1"/>
    <col min="9" max="9" width="25.7109375" style="3" bestFit="1" customWidth="1"/>
    <col min="10" max="10" width="13.42578125" style="3" bestFit="1" customWidth="1"/>
    <col min="11" max="11" width="9.140625" style="3"/>
    <col min="12" max="12" width="19.7109375" style="3" bestFit="1" customWidth="1"/>
    <col min="13" max="13" width="23.5703125" style="3" bestFit="1" customWidth="1"/>
    <col min="14" max="14" width="16.140625" style="3" customWidth="1"/>
    <col min="15" max="15" width="20.28515625" style="3" bestFit="1" customWidth="1"/>
    <col min="16" max="16" width="13.42578125" style="3" bestFit="1" customWidth="1"/>
    <col min="17" max="17" width="11.7109375" style="3" bestFit="1" customWidth="1"/>
    <col min="18" max="16384" width="9.140625" style="3"/>
  </cols>
  <sheetData>
    <row r="1" spans="1:17" x14ac:dyDescent="0.35">
      <c r="A1" s="1" t="s">
        <v>121</v>
      </c>
      <c r="B1" s="2" t="s">
        <v>95</v>
      </c>
      <c r="C1" s="2" t="s">
        <v>122</v>
      </c>
      <c r="D1" s="2" t="s">
        <v>123</v>
      </c>
      <c r="E1" s="2" t="s">
        <v>72</v>
      </c>
      <c r="F1" s="2" t="s">
        <v>13</v>
      </c>
      <c r="G1" s="2" t="s">
        <v>40</v>
      </c>
      <c r="I1" s="4" t="s">
        <v>124</v>
      </c>
      <c r="J1" s="5">
        <f>SUM(Table1[After Expenses])</f>
        <v>100095.13</v>
      </c>
      <c r="L1" s="3" t="s">
        <v>125</v>
      </c>
      <c r="M1" s="6">
        <v>13495.13</v>
      </c>
      <c r="O1" s="7" t="s">
        <v>21</v>
      </c>
      <c r="P1" s="8">
        <f>M1-J2</f>
        <v>0</v>
      </c>
      <c r="Q1" s="3" t="s">
        <v>126</v>
      </c>
    </row>
    <row r="2" spans="1:17" x14ac:dyDescent="0.35">
      <c r="A2" s="3" t="s">
        <v>127</v>
      </c>
      <c r="B2" s="21">
        <v>22900</v>
      </c>
      <c r="C2" s="21">
        <f>SUM(Maya!B:B)</f>
        <v>22900</v>
      </c>
      <c r="D2" s="16">
        <f>B2-SUM(Maya!B:B)</f>
        <v>0</v>
      </c>
      <c r="E2" s="17">
        <f>SUMIFS(Maya!B:B,ESPP1!A:A,"Savings",Maya!B:B,"&gt;0")</f>
        <v>0</v>
      </c>
      <c r="F2" s="18">
        <f>SUMIFS(Maya!B:B,ESPP1!A:A,"Carry Over",Maya!B:B,"&gt;0")</f>
        <v>0</v>
      </c>
      <c r="G2" s="22">
        <f>SUMIFS(Maya!B:B,Maya!A:A,"House")</f>
        <v>0</v>
      </c>
      <c r="I2" s="9" t="s">
        <v>128</v>
      </c>
      <c r="J2" s="10">
        <f>J1-D2-D6</f>
        <v>13495.130000000005</v>
      </c>
      <c r="M2" s="3" t="s">
        <v>129</v>
      </c>
      <c r="O2"/>
    </row>
    <row r="3" spans="1:17" x14ac:dyDescent="0.35">
      <c r="A3" s="3" t="s">
        <v>130</v>
      </c>
      <c r="B3" s="21">
        <v>76941.919999999998</v>
      </c>
      <c r="C3" s="21">
        <f>SUM(ESPP1!B:B)</f>
        <v>76941.919999999984</v>
      </c>
      <c r="D3" s="16">
        <f t="shared" ref="D3:D15" si="0">B3-C3</f>
        <v>0</v>
      </c>
      <c r="E3" s="17">
        <f>SUMIFS(ESPP1!B:B,ESPP1!A:A,"Savings",ESPP1!B:B,"&gt;0")</f>
        <v>2000</v>
      </c>
      <c r="F3" s="18">
        <f>SUMIFS(ESPP1!B:B,ESPP1!A:A,"Carry Over",ESPP1!B:B,"&gt;0")</f>
        <v>533.91999999999996</v>
      </c>
      <c r="G3" s="22">
        <f>SUMIFS(ESPP1!B:B,ESPP1!A:A,"House")</f>
        <v>0</v>
      </c>
      <c r="I3" s="11" t="s">
        <v>131</v>
      </c>
      <c r="J3" s="12">
        <f>J2+P1</f>
        <v>13495.130000000005</v>
      </c>
      <c r="O3"/>
      <c r="P3" s="30"/>
    </row>
    <row r="4" spans="1:17" x14ac:dyDescent="0.35">
      <c r="A4" s="3" t="s">
        <v>132</v>
      </c>
      <c r="B4" s="21">
        <v>14491.15</v>
      </c>
      <c r="C4" s="21">
        <f>SUM('13.5 Month Pay'!B:B)</f>
        <v>14491.15</v>
      </c>
      <c r="D4" s="16">
        <f t="shared" si="0"/>
        <v>0</v>
      </c>
      <c r="E4" s="17">
        <f>SUMIFS('13.5 Month Pay'!B:B,'13.5 Month Pay'!A:A,"Savings",'13.5 Month Pay'!B:B,"&gt;0")</f>
        <v>7000</v>
      </c>
      <c r="F4" s="18">
        <f>SUMIFS('13.5 Month Pay'!B:B,'13.5 Month Pay'!A:A,"Carry Over",'13.5 Month Pay'!B:B,"&gt;0")</f>
        <v>666.39</v>
      </c>
      <c r="G4" s="22">
        <f>SUMIFS('13.5 Month Pay'!B:B,'13.5 Month Pay'!A:A,"House")</f>
        <v>0</v>
      </c>
      <c r="I4"/>
      <c r="J4"/>
      <c r="O4"/>
    </row>
    <row r="5" spans="1:17" x14ac:dyDescent="0.35">
      <c r="A5" s="3" t="s">
        <v>133</v>
      </c>
      <c r="B5" s="21">
        <v>8757.94</v>
      </c>
      <c r="C5" s="21">
        <f>SUM('CorpBonus-6-05-25'!B:B)</f>
        <v>8757.94</v>
      </c>
      <c r="D5" s="16">
        <f t="shared" si="0"/>
        <v>0</v>
      </c>
      <c r="E5" s="17">
        <f>SUMIFS('CorpBonus-6-05-25'!B:B,'CorpBonus-6-05-25'!A:A,"Savings",'CorpBonus-6-05-25'!B:B,"&gt;0")</f>
        <v>2000</v>
      </c>
      <c r="F5" s="18">
        <f>SUMIFS('CorpBonus-6-05-25'!B:B,'CorpBonus-6-05-25'!A:A,"Carry Over",'CorpBonus-6-05-25'!B:B,"&gt;0")</f>
        <v>7.94</v>
      </c>
      <c r="G5" s="22">
        <f>SUMIFS('CorpBonus-6-05-25'!B:B,'CorpBonus-6-05-25'!A:A,"House")</f>
        <v>0</v>
      </c>
      <c r="I5" s="7" t="s">
        <v>134</v>
      </c>
      <c r="J5" s="13">
        <f>M1-J2</f>
        <v>0</v>
      </c>
      <c r="O5"/>
    </row>
    <row r="6" spans="1:17" x14ac:dyDescent="0.35">
      <c r="A6" s="3" t="s">
        <v>135</v>
      </c>
      <c r="B6" s="21">
        <v>300</v>
      </c>
      <c r="C6" s="21">
        <f>SUM('Maya Expenses 2'!B:B)</f>
        <v>-86300</v>
      </c>
      <c r="D6" s="16">
        <f t="shared" si="0"/>
        <v>86600</v>
      </c>
      <c r="E6" s="17">
        <f>SUMIFS('Maya Expenses 2'!B:B,'Maya Expenses 2'!A:A,"Savings",'Maya Expenses 2'!B:B,"&gt;0")</f>
        <v>0</v>
      </c>
      <c r="F6" s="18">
        <f>SUMIFS('Maya Expenses 2'!B:B,'Maya Expenses 2'!A:A,"Carry Over",'Maya Expenses 2'!B:B,"&gt;0")</f>
        <v>0</v>
      </c>
      <c r="G6" s="22">
        <f>SUMIFS('Maya Expenses 2'!B:B,'Maya Expenses 2'!A:A,"House")</f>
        <v>-90600</v>
      </c>
      <c r="H6" s="6">
        <f>Table1[[#This Row],[After Expenses]]+Table1[[#This Row],[House]]</f>
        <v>-4000</v>
      </c>
      <c r="I6"/>
      <c r="J6"/>
      <c r="O6"/>
    </row>
    <row r="7" spans="1:17" x14ac:dyDescent="0.35">
      <c r="A7" s="3" t="s">
        <v>136</v>
      </c>
      <c r="B7" s="21">
        <v>110375.59</v>
      </c>
      <c r="C7" s="21">
        <f>SUM('ESPP Expenses 2'!B:B)</f>
        <v>110375.59</v>
      </c>
      <c r="D7" s="16">
        <f t="shared" si="0"/>
        <v>0</v>
      </c>
      <c r="E7" s="17">
        <f>SUMIFS('ESPP Expenses 2'!B:B,'ESPP Expenses 2'!A:A,"Savings",'ESPP Expenses 2'!B:B,"&gt;0")</f>
        <v>2500</v>
      </c>
      <c r="F7" s="18">
        <f>SUMIFS('ESPP Expenses 2'!B:B,'ESPP Expenses 2'!A:A,"Carry Over",'ESPP Expenses 2'!B:B,"&gt;0")</f>
        <v>611.00999999999476</v>
      </c>
      <c r="G7" s="22">
        <f>SUMIFS('ESPP Expenses 2'!B:B,'ESPP Expenses 2'!A:A,"House")</f>
        <v>98937.58</v>
      </c>
      <c r="I7"/>
      <c r="J7"/>
      <c r="O7"/>
    </row>
    <row r="8" spans="1:17" x14ac:dyDescent="0.35">
      <c r="A8" s="3" t="s">
        <v>137</v>
      </c>
      <c r="B8" s="21">
        <v>30431.42</v>
      </c>
      <c r="C8" s="21">
        <f>SUM('13thFY25'!B:B)</f>
        <v>30431.42</v>
      </c>
      <c r="D8" s="16">
        <f>B8-C8</f>
        <v>0</v>
      </c>
      <c r="E8" s="17">
        <f>SUMIFS('13thFY25'!B:B,'13thFY25'!A:A,"Savings",'13thFY25'!B:B,"&gt;0")</f>
        <v>23500</v>
      </c>
      <c r="F8" s="18">
        <f>SUMIFS('13thFY25'!B:B,'13thFY25'!A:A,"Carry Over",'13thFY25'!B:B,"&gt;0")</f>
        <v>41.42</v>
      </c>
      <c r="G8" s="22">
        <f>SUMIFS('13thFY25'!B:B,'13thFY25'!A:A,"House")</f>
        <v>0</v>
      </c>
      <c r="I8"/>
      <c r="J8"/>
      <c r="O8"/>
    </row>
    <row r="9" spans="1:17" x14ac:dyDescent="0.35">
      <c r="A9" s="3" t="s">
        <v>138</v>
      </c>
      <c r="B9" s="21">
        <v>19391.84</v>
      </c>
      <c r="C9" s="21">
        <f>SUM(Corp34Q25!B:B)</f>
        <v>19391.84</v>
      </c>
      <c r="D9" s="16">
        <f>B9-C9</f>
        <v>0</v>
      </c>
      <c r="E9" s="17">
        <f>SUMIFS(Corp34Q25!B:B,Corp34Q25!A:A,"Savings",Corp34Q25!B:B,"&gt;0")</f>
        <v>10000</v>
      </c>
      <c r="F9" s="18">
        <f>SUMIFS(Corp34Q25!B:B,Corp34Q25!A:A,"Carry Over",Corp34Q25!B:B,"&gt;0")</f>
        <v>366.84000000000015</v>
      </c>
      <c r="G9" s="22">
        <f>SUMIFS(Corp34Q25!B:B,Corp34Q25!A:A,"House")</f>
        <v>0</v>
      </c>
      <c r="I9"/>
      <c r="J9"/>
      <c r="O9"/>
    </row>
    <row r="10" spans="1:17" x14ac:dyDescent="0.35">
      <c r="A10" s="3" t="s">
        <v>139</v>
      </c>
      <c r="B10" s="21">
        <v>16857.86</v>
      </c>
      <c r="C10" s="21">
        <f>SUM('13.5 Month 2026'!B:B)</f>
        <v>16857.86</v>
      </c>
      <c r="D10" s="16">
        <f>B10-C10</f>
        <v>0</v>
      </c>
      <c r="E10" s="17">
        <f>SUMIFS('13.5 Month 2026'!B:B,'13.5 Month 2026'!A:A,"Savings",'13.5 Month 2026'!B:B,"&gt;0")</f>
        <v>8000</v>
      </c>
      <c r="F10" s="18">
        <f>SUMIFS('13.5 Month 2026'!B:B,'13.5 Month 2026'!A:A,"Carry Over",'13.5 Month 2026'!B:B,"&gt;0")</f>
        <v>34.930000000000291</v>
      </c>
      <c r="G10" s="22">
        <f>SUMIFS('13.5 Month 2026'!B:B,'13.5 Month 2026'!A:A,"House")</f>
        <v>0</v>
      </c>
      <c r="I10"/>
      <c r="J10"/>
      <c r="O10"/>
    </row>
    <row r="11" spans="1:17" x14ac:dyDescent="0.35">
      <c r="A11" s="3" t="s">
        <v>140</v>
      </c>
      <c r="B11" s="21">
        <v>26215.02</v>
      </c>
      <c r="C11" s="21">
        <f>SUM(Corp12Q26!B:B)</f>
        <v>12870.24</v>
      </c>
      <c r="D11" s="16">
        <f>B11-C11</f>
        <v>13344.78</v>
      </c>
      <c r="E11" s="17">
        <f>SUMIFS(Corp12Q26!B:B,Corp12Q26!A:A,"Savings",Corp12Q26!B:B,"&gt;0")</f>
        <v>0</v>
      </c>
      <c r="F11" s="18">
        <f>SUMIFS(Corp12Q26!B:B,Corp12Q26!A:A,"Carry Over",Corp12Q26!B:B,"&gt;0")</f>
        <v>0</v>
      </c>
      <c r="G11" s="22">
        <f>SUMIFS(Corp12Q26!B:B,Corp12Q26!A:A,"House")</f>
        <v>0</v>
      </c>
      <c r="I11"/>
      <c r="J11"/>
      <c r="O11"/>
    </row>
    <row r="12" spans="1:17" x14ac:dyDescent="0.35">
      <c r="A12" s="3" t="s">
        <v>141</v>
      </c>
      <c r="B12" s="21">
        <v>11438.68</v>
      </c>
      <c r="C12" s="21">
        <f>SUM('02-27-25'!B:B)</f>
        <v>11438.68</v>
      </c>
      <c r="D12" s="16">
        <f t="shared" si="0"/>
        <v>0</v>
      </c>
      <c r="E12" s="17">
        <f>SUMIFS('02-27-25'!B:B,'02-27-25'!A:A,"Savings",'02-27-25'!B:B,"&gt;0")</f>
        <v>2000</v>
      </c>
      <c r="F12" s="18">
        <f>SUMIFS('02-27-25'!B:B,'02-27-25'!A:A,"Carry Over",'02-27-25'!B:B,"&gt;0")</f>
        <v>0</v>
      </c>
      <c r="G12" s="22">
        <f>SUMIFS('02-27-25'!B:B,'02-27-25'!A:A,"House")</f>
        <v>0</v>
      </c>
      <c r="I12"/>
      <c r="J12" s="41"/>
      <c r="O12"/>
    </row>
    <row r="13" spans="1:17" x14ac:dyDescent="0.35">
      <c r="A13" s="3" t="s">
        <v>142</v>
      </c>
      <c r="B13" s="21">
        <v>10057.370000000001</v>
      </c>
      <c r="C13" s="21">
        <f>SUM('03-13-25'!B:B)</f>
        <v>10057.369999999999</v>
      </c>
      <c r="D13" s="16">
        <f t="shared" si="0"/>
        <v>0</v>
      </c>
      <c r="E13" s="17">
        <f>SUMIFS('03-13-25'!B:B,'03-13-25'!A:A,"Savings",'03-13-25'!B:B,"&gt;0")</f>
        <v>2105</v>
      </c>
      <c r="F13" s="18">
        <f>SUMIFS('03-13-25'!B:B,'03-13-25'!A:A,"Carry Over",'03-13-25'!B:B,"&gt;0")</f>
        <v>239.31</v>
      </c>
      <c r="G13" s="22">
        <f>SUMIFS('03-13-25'!B:B,'03-13-25'!A:A,"House")</f>
        <v>0</v>
      </c>
      <c r="I13"/>
      <c r="J13"/>
      <c r="O13"/>
    </row>
    <row r="14" spans="1:17" x14ac:dyDescent="0.35">
      <c r="A14" s="3" t="s">
        <v>143</v>
      </c>
      <c r="B14" s="21">
        <v>9062.4599999999991</v>
      </c>
      <c r="C14" s="21">
        <f>SUM('04-10-25'!B:B)</f>
        <v>9062.4599999999991</v>
      </c>
      <c r="D14" s="16">
        <f t="shared" si="0"/>
        <v>0</v>
      </c>
      <c r="E14" s="17">
        <f>SUMIFS('04-10-25'!B:B,'04-10-25'!A:A,"Savings",'04-10-25'!B:B,"&gt;0")</f>
        <v>1005</v>
      </c>
      <c r="F14" s="18">
        <f>SUMIFS('04-10-25'!B:B,'04-10-25'!A:A,"Carry Over",'04-10-25'!B:B,"&gt;0")</f>
        <v>787.5</v>
      </c>
      <c r="G14" s="22">
        <f>SUMIFS('04-10-25'!B:B,'04-10-25'!A:A,"House")</f>
        <v>0</v>
      </c>
      <c r="O14"/>
    </row>
    <row r="15" spans="1:17" x14ac:dyDescent="0.35">
      <c r="A15" s="3" t="s">
        <v>144</v>
      </c>
      <c r="B15" s="21">
        <v>10412.209999999999</v>
      </c>
      <c r="C15" s="21">
        <f>SUM('04-24-25'!B:B)</f>
        <v>10412.210000000001</v>
      </c>
      <c r="D15" s="16">
        <f t="shared" si="0"/>
        <v>0</v>
      </c>
      <c r="E15" s="17">
        <f>SUMIFS('04-24-25'!B:B,'04-24-25'!A:A,"Savings",'04-24-25'!B:B,"&gt;0")</f>
        <v>2000</v>
      </c>
      <c r="F15" s="18">
        <f>SUMIFS('04-24-25'!B:B,'04-24-25'!A:A,"Carry Over",'04-24-25'!B:B,"&gt;0")</f>
        <v>0.28999999999999998</v>
      </c>
      <c r="G15" s="22">
        <f>SUMIFS('04-24-25'!B:B,'04-24-25'!A:A,"House")</f>
        <v>0</v>
      </c>
      <c r="O15"/>
    </row>
    <row r="16" spans="1:17" x14ac:dyDescent="0.35">
      <c r="A16" s="3" t="s">
        <v>145</v>
      </c>
      <c r="B16" s="21">
        <v>17176.27</v>
      </c>
      <c r="C16" s="21">
        <f>SUM('05-08-25'!B:B)</f>
        <v>17176.27</v>
      </c>
      <c r="D16" s="16">
        <f t="shared" ref="D16:D21" si="1">B16-C16</f>
        <v>0</v>
      </c>
      <c r="E16" s="17">
        <f>SUMIFS('05-08-25'!B:B,'05-08-25'!A:A,"Savings",'05-08-25'!B:B,"&gt;0")</f>
        <v>2000</v>
      </c>
      <c r="F16" s="18">
        <f>SUMIFS('05-08-25'!B:B,'05-08-25'!A:A,"Carry Over",'05-08-25'!B:B,"&gt;0")</f>
        <v>70.510000000000005</v>
      </c>
      <c r="G16" s="22">
        <f>SUMIFS('05-08-25'!B:B,'05-08-25'!A:A,"House")</f>
        <v>0</v>
      </c>
    </row>
    <row r="17" spans="1:10" x14ac:dyDescent="0.35">
      <c r="A17" s="3" t="s">
        <v>146</v>
      </c>
      <c r="B17" s="21">
        <v>14671.67</v>
      </c>
      <c r="C17" s="21">
        <f>SUM('05-22-25'!B:B)</f>
        <v>14671.669999999998</v>
      </c>
      <c r="D17" s="16">
        <f t="shared" si="1"/>
        <v>0</v>
      </c>
      <c r="E17" s="17">
        <f>SUMIFS('05-22-25'!B:B,'05-22-25'!A:A,"Savings",'05-22-25'!B:B,"&gt;0")</f>
        <v>0</v>
      </c>
      <c r="F17" s="18">
        <f>SUMIFS('05-22-25'!B:B,'05-22-25'!A:A,"Carry Over",'05-22-25'!B:B,"&gt;0")</f>
        <v>83.21</v>
      </c>
      <c r="G17" s="22">
        <f>SUMIFS('05-22-25'!B:B,'05-22-25'!A:A,"House")</f>
        <v>0</v>
      </c>
    </row>
    <row r="18" spans="1:10" x14ac:dyDescent="0.35">
      <c r="A18" s="3" t="s">
        <v>147</v>
      </c>
      <c r="B18" s="21">
        <v>10057.57</v>
      </c>
      <c r="C18" s="21">
        <f>SUM('06-05-25'!B:B)</f>
        <v>10057.57</v>
      </c>
      <c r="D18" s="16">
        <f t="shared" si="1"/>
        <v>0</v>
      </c>
      <c r="E18" s="17">
        <f>SUMIFS('06-05-25'!B:B,'06-05-25'!A:A,"Savings",'06-05-25'!B:B,"&gt;0")</f>
        <v>0</v>
      </c>
      <c r="F18" s="18">
        <f>SUMIFS('06-05-25'!B:B,'06-05-25'!A:A,"Carry Over",'06-05-25'!B:B,"&gt;0")</f>
        <v>18.84</v>
      </c>
      <c r="G18" s="22">
        <f>SUMIFS('06-05-25'!B:B,'06-05-25'!A:A,"House")</f>
        <v>0</v>
      </c>
    </row>
    <row r="19" spans="1:10" x14ac:dyDescent="0.35">
      <c r="A19" s="3" t="s">
        <v>148</v>
      </c>
      <c r="B19" s="21">
        <v>10021.66</v>
      </c>
      <c r="C19" s="21">
        <f>SUM('06-19-25'!B:B)</f>
        <v>10021.66</v>
      </c>
      <c r="D19" s="16">
        <f t="shared" si="1"/>
        <v>0</v>
      </c>
      <c r="E19" s="17">
        <f>SUMIFS('06-19-25'!B:B,'06-19-25'!A:A,"Savings",'06-19-25'!B:B,"&gt;0")</f>
        <v>0</v>
      </c>
      <c r="F19" s="18">
        <f>SUMIFS('06-19-25'!B:B,'06-19-25'!A:A,"Carry Over",'06-19-25'!B:B,"&gt;0")</f>
        <v>58.58</v>
      </c>
      <c r="G19" s="22">
        <f>SUMIFS('06-19-25'!B:B,'06-19-25'!A:A,"House")</f>
        <v>0</v>
      </c>
      <c r="I19"/>
      <c r="J19"/>
    </row>
    <row r="20" spans="1:10" x14ac:dyDescent="0.35">
      <c r="A20" s="3" t="s">
        <v>149</v>
      </c>
      <c r="B20" s="21">
        <v>14738.16</v>
      </c>
      <c r="C20" s="21">
        <f>SUM('07-03-25'!B:B)</f>
        <v>14738.16</v>
      </c>
      <c r="D20" s="16">
        <f t="shared" si="1"/>
        <v>0</v>
      </c>
      <c r="E20" s="17">
        <f>SUMIFS('07-03-25'!B:B,'07-03-25'!A:A,"Savings",'07-03-25'!B:B,"&gt;0")</f>
        <v>1700</v>
      </c>
      <c r="F20" s="18">
        <f>SUMIFS('07-03-25'!B:B,'07-03-25'!A:A,"Carry Over",'07-03-25'!B:B,"&gt;0")</f>
        <v>25.74</v>
      </c>
      <c r="G20" s="22">
        <f>SUMIFS('07-03-25'!B:B,'07-03-25'!A:A,"House")</f>
        <v>0</v>
      </c>
    </row>
    <row r="21" spans="1:10" x14ac:dyDescent="0.35">
      <c r="A21" s="3" t="s">
        <v>150</v>
      </c>
      <c r="B21" s="21">
        <v>11362.99</v>
      </c>
      <c r="C21" s="21">
        <f>SUM('07-17-25'!B:B)</f>
        <v>11362.99</v>
      </c>
      <c r="D21" s="16">
        <f t="shared" si="1"/>
        <v>0</v>
      </c>
      <c r="E21" s="17">
        <f>SUMIFS('07-17-25'!B:B,'07-17-25'!A:A,"Savings",'07-17-25'!B:B,"&gt;0")</f>
        <v>1800</v>
      </c>
      <c r="F21" s="18">
        <f>SUMIFS('07-17-25'!B:B,'07-17-25'!A:A,"Carry Over",'07-17-25'!B:B,"&gt;0")</f>
        <v>341.07999999999993</v>
      </c>
      <c r="G21" s="22">
        <f>SUMIFS('07-17-25'!B:B,'07-17-25'!A:A,"House")</f>
        <v>4000</v>
      </c>
    </row>
    <row r="22" spans="1:10" x14ac:dyDescent="0.35">
      <c r="A22" s="3" t="s">
        <v>151</v>
      </c>
      <c r="B22" s="21">
        <v>10521.74</v>
      </c>
      <c r="C22" s="21">
        <f>SUM('07-31-25'!B:B)</f>
        <v>10521.74</v>
      </c>
      <c r="D22" s="16">
        <f t="shared" ref="D22:D27" si="2">B22-C22</f>
        <v>0</v>
      </c>
      <c r="E22" s="17">
        <f>SUMIFS('07-31-25'!B:B,'07-31-25'!A:A,"Savings",'07-31-25'!B:B,"&gt;0")</f>
        <v>0</v>
      </c>
      <c r="F22" s="18">
        <f>SUMIFS('07-31-25'!B:B,'07-31-25'!A:A,"Carry Over",'07-31-25'!B:B,"&gt;0")</f>
        <v>646.07000000000005</v>
      </c>
      <c r="G22" s="22">
        <f>SUMIFS('07-31-25'!B:B,'07-31-25'!A:A,"House")</f>
        <v>4000</v>
      </c>
    </row>
    <row r="23" spans="1:10" x14ac:dyDescent="0.35">
      <c r="A23" s="3" t="s">
        <v>152</v>
      </c>
      <c r="B23" s="21">
        <v>10440.07</v>
      </c>
      <c r="C23" s="21">
        <f>SUM('08-14-25'!B:B)</f>
        <v>10440.07</v>
      </c>
      <c r="D23" s="16">
        <f t="shared" si="2"/>
        <v>0</v>
      </c>
      <c r="E23" s="17">
        <f>SUMIFS('08-14-25'!B:B,'08-14-25'!A:A,"Savings",'08-14-25'!B:B,"&gt;0")</f>
        <v>500</v>
      </c>
      <c r="F23" s="18">
        <f>SUMIFS('08-14-25'!B:B,'08-14-25'!A:A,"Carry Over",'08-14-25'!B:B,"&gt;0")</f>
        <v>131.88999999999942</v>
      </c>
      <c r="G23" s="22">
        <f>SUMIFS('08-14-25'!B:B,'08-14-25'!A:A,"House")</f>
        <v>4000</v>
      </c>
    </row>
    <row r="24" spans="1:10" x14ac:dyDescent="0.35">
      <c r="A24" s="3" t="s">
        <v>153</v>
      </c>
      <c r="B24" s="21">
        <v>9926.74</v>
      </c>
      <c r="C24" s="21">
        <f>SUM('08-28-25'!B:B)</f>
        <v>9926.74</v>
      </c>
      <c r="D24" s="16">
        <f t="shared" si="2"/>
        <v>0</v>
      </c>
      <c r="E24" s="17">
        <f>SUMIFS('08-28-25'!B:B,'08-28-25'!A:A,"Savings",'08-28-25'!B:B,"&gt;0")</f>
        <v>2000</v>
      </c>
      <c r="F24" s="18">
        <f>SUMIFS('08-28-25'!B:B,'08-28-25'!A:A,"Carry Over",'08-28-25'!B:B,"&gt;0")</f>
        <v>3.7199999999993452</v>
      </c>
      <c r="G24" s="22">
        <f>SUMIFS('08-28-25'!B:B,'08-28-25'!A:A,"House")</f>
        <v>4000</v>
      </c>
    </row>
    <row r="25" spans="1:10" x14ac:dyDescent="0.35">
      <c r="A25" s="3" t="s">
        <v>154</v>
      </c>
      <c r="B25" s="21">
        <v>13732.89</v>
      </c>
      <c r="C25" s="21">
        <f>SUM('09-11-25'!B:B)</f>
        <v>13732.89</v>
      </c>
      <c r="D25" s="16">
        <f t="shared" si="2"/>
        <v>0</v>
      </c>
      <c r="E25" s="17">
        <f>SUMIFS('09-11-25'!B:B,'09-11-25'!A:A,"Savings",'09-11-25'!B:B,"&gt;0")</f>
        <v>3000</v>
      </c>
      <c r="F25" s="18">
        <f>SUMIFS('09-11-25'!B:B,'09-11-25'!A:A,"Carry Over",'09-11-25'!B:B,"&gt;0")</f>
        <v>283.21999999999389</v>
      </c>
      <c r="G25" s="22">
        <f>SUMIFS('09-11-25'!B:B,'09-11-25'!A:A,"House")</f>
        <v>4000</v>
      </c>
    </row>
    <row r="26" spans="1:10" x14ac:dyDescent="0.35">
      <c r="A26" s="3" t="s">
        <v>155</v>
      </c>
      <c r="B26" s="21">
        <v>9926.74</v>
      </c>
      <c r="C26" s="21">
        <f>SUM('09-25-25'!B:B)</f>
        <v>9926.74</v>
      </c>
      <c r="D26" s="16">
        <f t="shared" si="2"/>
        <v>0</v>
      </c>
      <c r="E26" s="17">
        <f>SUMIFS('09-25-25'!B:B,'09-25-25'!A:A,"Savings",'09-25-25'!B:B,"&gt;0")</f>
        <v>173.17</v>
      </c>
      <c r="F26" s="18">
        <f>SUMIFS('09-25-25'!B:B,'09-25-25'!A:A,"Carry Over",'09-25-25'!B:B,"&gt;0")</f>
        <v>144.17999999999302</v>
      </c>
      <c r="G26" s="22">
        <f>SUMIFS('09-25-25'!B:B,'09-25-25'!A:A,"House")</f>
        <v>4000</v>
      </c>
    </row>
    <row r="27" spans="1:10" x14ac:dyDescent="0.35">
      <c r="A27" s="3" t="s">
        <v>156</v>
      </c>
      <c r="B27" s="21">
        <v>11855.08</v>
      </c>
      <c r="C27" s="21">
        <f>SUM('10-09-25'!B:B)</f>
        <v>11855.08</v>
      </c>
      <c r="D27" s="16">
        <f t="shared" si="2"/>
        <v>0</v>
      </c>
      <c r="E27" s="17">
        <f>SUMIFS('10-09-25'!B:B,'10-09-25'!A:A,"Savings",'10-09-25'!B:B,"&gt;0")</f>
        <v>0</v>
      </c>
      <c r="F27" s="18">
        <f>SUMIFS('10-09-25'!B:B,'10-09-25'!A:A,"Carry Over",'10-09-25'!B:B,"&gt;0")</f>
        <v>462.15999999999258</v>
      </c>
      <c r="G27" s="22">
        <f>SUMIFS('10-09-25'!B:B,'10-09-25'!A:A,"House")</f>
        <v>4000</v>
      </c>
    </row>
    <row r="28" spans="1:10" x14ac:dyDescent="0.35">
      <c r="A28" s="3" t="s">
        <v>157</v>
      </c>
      <c r="B28" s="21">
        <v>9926.74</v>
      </c>
      <c r="C28" s="21">
        <f>SUM('10-23-25'!B:B)</f>
        <v>9926.7400000000071</v>
      </c>
      <c r="D28" s="16">
        <f t="shared" ref="D28:D33" si="3">B28-C28</f>
        <v>0</v>
      </c>
      <c r="E28" s="17">
        <f>SUMIFS('10-23-25'!B:B,'10-23-25'!A:A,"Savings",'10-23-25'!B:B,"&gt;0")</f>
        <v>0</v>
      </c>
      <c r="F28" s="18">
        <f>SUMIFS('10-23-25'!B:B,'10-23-25'!A:A,"Carry Over",'10-23-25'!B:B,"&gt;0")</f>
        <v>10.72</v>
      </c>
      <c r="G28" s="22">
        <f>SUMIFS('10-23-25'!B:B,'10-23-25'!A:A,"House")</f>
        <v>4000</v>
      </c>
    </row>
    <row r="29" spans="1:10" x14ac:dyDescent="0.35">
      <c r="A29" s="3" t="s">
        <v>158</v>
      </c>
      <c r="B29" s="21">
        <v>10440.07</v>
      </c>
      <c r="C29" s="21">
        <f>SUM('11-06-25'!B:B)</f>
        <v>10440.070000000002</v>
      </c>
      <c r="D29" s="16">
        <f t="shared" si="3"/>
        <v>0</v>
      </c>
      <c r="E29" s="17">
        <f>SUMIFS('11-06-25'!B:B,'11-06-25'!A:A,"Savings",'11-06-25'!B:B,"&gt;0")</f>
        <v>0</v>
      </c>
      <c r="F29" s="18">
        <f>SUMIFS('11-06-25'!B:B,'11-06-25'!A:A,"Carry Over",'11-06-25'!B:B,"&gt;0")</f>
        <v>62.27</v>
      </c>
      <c r="G29" s="22">
        <f>SUMIFS('11-06-25'!B:B,'11-06-25'!A:A,"House")</f>
        <v>4000</v>
      </c>
    </row>
    <row r="30" spans="1:10" x14ac:dyDescent="0.35">
      <c r="A30" s="13" t="s">
        <v>159</v>
      </c>
      <c r="B30" s="21">
        <v>14533.58</v>
      </c>
      <c r="C30" s="21">
        <f>SUM('11-20-25'!B:B)</f>
        <v>14533.58</v>
      </c>
      <c r="D30" s="16">
        <f t="shared" si="3"/>
        <v>0</v>
      </c>
      <c r="E30" s="17">
        <f>SUMIFS('11-20-25'!B:B,'11-20-25'!A:A,"Savings",'11-20-25'!B:B,"&gt;0")</f>
        <v>2000</v>
      </c>
      <c r="F30" s="18">
        <f>SUMIFS('11-20-25'!B:B,'11-20-25'!A:A,"Carry Over",'11-20-25'!B:B,"&gt;0")</f>
        <v>151.28000000000065</v>
      </c>
      <c r="G30" s="22">
        <f>SUMIFS('11-20-25'!B:B,'11-20-25'!A:A,"House")</f>
        <v>4000</v>
      </c>
    </row>
    <row r="31" spans="1:10" x14ac:dyDescent="0.35">
      <c r="A31" s="3" t="s">
        <v>160</v>
      </c>
      <c r="B31" s="21">
        <v>11047.58</v>
      </c>
      <c r="C31" s="21">
        <f>SUM('12-04-25'!B:B)</f>
        <v>11047.58</v>
      </c>
      <c r="D31" s="16">
        <f t="shared" si="3"/>
        <v>0</v>
      </c>
      <c r="E31" s="17">
        <f>SUMIFS('12-04-25'!B:B,'12-04-25'!A:A,"Savings",'12-04-25'!B:B,"&gt;0")</f>
        <v>500</v>
      </c>
      <c r="F31" s="18">
        <f>SUMIFS('12-04-25'!B:B,'12-04-25'!A:A,"Carry Over",'12-04-25'!B:B,"&gt;0")</f>
        <v>98.14</v>
      </c>
      <c r="G31" s="22">
        <f>SUMIFS('12-04-25'!B:B,'12-04-25'!A:A,"House")</f>
        <v>4000</v>
      </c>
    </row>
    <row r="32" spans="1:10" x14ac:dyDescent="0.35">
      <c r="A32" s="3" t="s">
        <v>161</v>
      </c>
      <c r="B32" s="21">
        <v>14378.18</v>
      </c>
      <c r="C32" s="21">
        <f>SUM('12-18-25'!B:B)</f>
        <v>14378.18</v>
      </c>
      <c r="D32" s="16">
        <f t="shared" si="3"/>
        <v>0</v>
      </c>
      <c r="E32" s="17">
        <f>SUMIFS('12-18-25'!B:B,'12-18-25'!A:A,"Savings",'12-18-25'!B:B,"&gt;0")</f>
        <v>1000</v>
      </c>
      <c r="F32" s="18">
        <f>SUMIFS('12-18-25'!B:B,'12-18-25'!A:A,"Carry Over",'12-18-25'!B:B,"&gt;0")</f>
        <v>244.13000000000102</v>
      </c>
      <c r="G32" s="22">
        <f>SUMIFS('12-18-25'!B:B,'12-18-25'!A:A,"House")</f>
        <v>4000</v>
      </c>
    </row>
    <row r="33" spans="1:16" x14ac:dyDescent="0.35">
      <c r="A33" s="3" t="s">
        <v>162</v>
      </c>
      <c r="B33" s="21">
        <v>14111.46</v>
      </c>
      <c r="C33" s="21">
        <f>SUM('01-01-26'!B:B)</f>
        <v>14111.46</v>
      </c>
      <c r="D33" s="16">
        <f t="shared" si="3"/>
        <v>0</v>
      </c>
      <c r="E33" s="17">
        <f>SUMIFS('01-01-26'!B:B,'01-01-26'!A:A,"Savings",'01-01-26'!B:B,"&gt;0")</f>
        <v>1500</v>
      </c>
      <c r="F33" s="18">
        <f>SUMIFS('01-01-26'!B:B,'01-01-26'!A:A,"Carry Over",'01-01-26'!B:B,"&gt;0")</f>
        <v>323.73999999999978</v>
      </c>
      <c r="G33" s="22">
        <f>SUMIFS('01-01-26'!B:B,'01-01-26'!A:A,"House")</f>
        <v>4000</v>
      </c>
    </row>
    <row r="34" spans="1:16" x14ac:dyDescent="0.35">
      <c r="A34" s="3" t="s">
        <v>163</v>
      </c>
      <c r="B34" s="21">
        <v>30413.42</v>
      </c>
      <c r="C34" s="21">
        <f>SUM('01-15-26'!B:B)</f>
        <v>30413.42</v>
      </c>
      <c r="D34" s="16">
        <f t="shared" ref="D34:D39" si="4">B34-C34</f>
        <v>0</v>
      </c>
      <c r="E34" s="17">
        <f>SUMIFS('01-15-26'!B:B,'01-15-26'!A:A,"Savings",'01-15-26'!B:B,"&gt;0")</f>
        <v>7400</v>
      </c>
      <c r="F34" s="18">
        <f>SUMIFS('01-15-26'!B:B,'01-15-26'!A:A,"Carry Over",'01-15-26'!B:B,"&gt;0")</f>
        <v>416.13999999999942</v>
      </c>
      <c r="G34" s="22">
        <f>SUMIFS('01-15-26'!B:B,'01-15-26'!A:A,"House")</f>
        <v>4000</v>
      </c>
    </row>
    <row r="35" spans="1:16" x14ac:dyDescent="0.35">
      <c r="A35" s="3" t="s">
        <v>164</v>
      </c>
      <c r="B35" s="21">
        <v>11244.41</v>
      </c>
      <c r="C35" s="21">
        <f>SUM('01-29-26'!B:B)</f>
        <v>11244.410000000002</v>
      </c>
      <c r="D35" s="16">
        <f t="shared" si="4"/>
        <v>0</v>
      </c>
      <c r="E35" s="17">
        <f>SUMIFS('01-29-26'!B:B,'01-29-26'!A:A,"Savings",'01-29-26'!B:B,"&gt;0")</f>
        <v>2000</v>
      </c>
      <c r="F35" s="18">
        <f>SUMIFS('01-29-26'!B:B,'01-29-26'!A:A,"Carry Over",'01-29-26'!B:B,"&gt;0")</f>
        <v>230.66</v>
      </c>
      <c r="G35" s="22">
        <f>SUMIFS('01-29-26'!B:B,'01-29-26'!A:A,"House")</f>
        <v>4000</v>
      </c>
    </row>
    <row r="36" spans="1:16" x14ac:dyDescent="0.35">
      <c r="A36" s="3" t="s">
        <v>165</v>
      </c>
      <c r="B36" s="21">
        <v>13787.66</v>
      </c>
      <c r="C36" s="21">
        <f>SUM('02-12-26'!B:B)</f>
        <v>13787.66</v>
      </c>
      <c r="D36" s="16">
        <f t="shared" si="4"/>
        <v>0</v>
      </c>
      <c r="E36" s="17">
        <f>SUMIFS('02-12-26'!B:B,'02-12-26'!A:A,"Savings",'02-12-26'!B:B,"&gt;0")</f>
        <v>1000</v>
      </c>
      <c r="F36" s="18">
        <f>SUMIFS('02-12-26'!B:B,'02-12-26'!A:A,"Carry Over",'02-12-26'!B:B,"&gt;0")</f>
        <v>166.99</v>
      </c>
      <c r="G36" s="22">
        <f>SUMIFS('02-12-26'!B:B,'02-12-26'!A:A,"House")</f>
        <v>4000</v>
      </c>
    </row>
    <row r="37" spans="1:16" x14ac:dyDescent="0.35">
      <c r="A37" s="3" t="s">
        <v>166</v>
      </c>
      <c r="B37" s="21">
        <v>12357.74</v>
      </c>
      <c r="C37" s="21">
        <f>SUM('02-26-26'!B:B)</f>
        <v>12357.74</v>
      </c>
      <c r="D37" s="16">
        <f t="shared" si="4"/>
        <v>0</v>
      </c>
      <c r="E37" s="17">
        <f>SUMIFS('02-26-26'!B:B,'02-26-26'!A:A,"Savings",'02-26-26'!B:B,"&gt;0")</f>
        <v>0</v>
      </c>
      <c r="F37" s="18">
        <f>SUMIFS('02-26-26'!B:B,'02-26-26'!A:A,"Carry Over",'02-26-26'!B:B,"&gt;0")</f>
        <v>114</v>
      </c>
      <c r="G37" s="22">
        <f>SUMIFS('02-26-26'!B:B,'02-26-26'!A:A,"House")</f>
        <v>4000</v>
      </c>
    </row>
    <row r="38" spans="1:16" x14ac:dyDescent="0.35">
      <c r="A38" s="3" t="s">
        <v>167</v>
      </c>
      <c r="B38" s="21">
        <v>15246.52</v>
      </c>
      <c r="C38" s="21">
        <f>SUM('03-12-26'!B:B)</f>
        <v>15246.52</v>
      </c>
      <c r="D38" s="16">
        <f t="shared" si="4"/>
        <v>0</v>
      </c>
      <c r="E38" s="17">
        <f>SUMIFS('03-12-26'!B:B,'03-12-26'!A:A,"Savings",'03-12-26'!B:B,"&gt;0")</f>
        <v>1000</v>
      </c>
      <c r="F38" s="18">
        <f>SUMIFS('03-12-26'!B:B,'03-12-26'!A:A,"Carry Over",'03-12-26'!B:B,"&gt;0")</f>
        <v>677.29999999999927</v>
      </c>
      <c r="G38" s="22">
        <f>SUMIFS('03-12-26'!B:B,'03-12-26'!A:A,"House")</f>
        <v>4000</v>
      </c>
    </row>
    <row r="39" spans="1:16" x14ac:dyDescent="0.35">
      <c r="A39" s="3" t="s">
        <v>168</v>
      </c>
      <c r="B39" s="21">
        <v>12362.33</v>
      </c>
      <c r="C39" s="21">
        <f>SUM('03-26-26'!B:B)</f>
        <v>12362.33</v>
      </c>
      <c r="D39" s="16">
        <f t="shared" si="4"/>
        <v>0</v>
      </c>
      <c r="E39" s="17">
        <f>SUMIFS('03-26-26'!B:B,'03-26-26'!A:A,"Savings",'03-26-26'!B:B,"&gt;0")</f>
        <v>0</v>
      </c>
      <c r="F39" s="18">
        <f>SUMIFS('03-26-26'!B:B,'03-26-26'!A:A,"Carry Over",'03-26-26'!B:B,"&gt;0")</f>
        <v>358.64999999999964</v>
      </c>
      <c r="G39" s="22">
        <f>SUMIFS('03-26-26'!B:B,'03-26-26'!A:A,"House")</f>
        <v>4000</v>
      </c>
      <c r="P39"/>
    </row>
    <row r="40" spans="1:16" x14ac:dyDescent="0.35">
      <c r="A40" s="3" t="s">
        <v>169</v>
      </c>
      <c r="B40" s="21">
        <f>32104.38-16857.86</f>
        <v>15246.52</v>
      </c>
      <c r="C40" s="21">
        <f>SUM('04-09-26'!B:B)</f>
        <v>15246.52</v>
      </c>
      <c r="D40" s="16">
        <f t="shared" ref="D40:D45" si="5">B40-C40</f>
        <v>0</v>
      </c>
      <c r="E40" s="17">
        <f>SUMIFS('04-09-26'!B:B,'04-09-26'!A:A,"Savings",'04-09-26'!B:B,"&gt;0")</f>
        <v>0</v>
      </c>
      <c r="F40" s="18">
        <f>SUMIFS('04-09-26'!B:B,'04-09-26'!A:A,"Carry Over",'04-09-26'!B:B,"&gt;0")</f>
        <v>163.98999999999978</v>
      </c>
      <c r="G40" s="22">
        <f>SUMIFS('04-09-26'!B:B,'04-09-26'!A:A,"House")</f>
        <v>4000</v>
      </c>
    </row>
    <row r="41" spans="1:16" x14ac:dyDescent="0.35">
      <c r="A41" s="3" t="s">
        <v>170</v>
      </c>
      <c r="B41" s="21">
        <v>17449.25</v>
      </c>
      <c r="C41" s="21">
        <f>SUM('04-23-26'!B:B)</f>
        <v>17449.25</v>
      </c>
      <c r="D41" s="16">
        <f t="shared" si="5"/>
        <v>0</v>
      </c>
      <c r="E41" s="17">
        <f>SUMIFS('04-23-26'!B:B,'04-23-26'!A:A,"Savings",'04-23-26'!B:B,"&gt;0")</f>
        <v>1000</v>
      </c>
      <c r="F41" s="18">
        <f>SUMIFS('04-23-26'!B:B,'04-23-26'!A:A,"Carry Over",'04-23-26'!B:B,"&gt;0")</f>
        <v>187.45000000000073</v>
      </c>
      <c r="G41" s="22">
        <f>SUMIFS('04-23-26'!B:B,'04-23-26'!A:A,"House")</f>
        <v>4000</v>
      </c>
    </row>
    <row r="42" spans="1:16" x14ac:dyDescent="0.35">
      <c r="A42" s="3" t="s">
        <v>171</v>
      </c>
      <c r="B42" s="21">
        <v>13112.85</v>
      </c>
      <c r="C42" s="21">
        <f>SUM('05-07-26'!B:B)</f>
        <v>13112.85</v>
      </c>
      <c r="D42" s="16">
        <f t="shared" si="5"/>
        <v>0</v>
      </c>
      <c r="E42" s="17">
        <f>SUMIFS('05-07-26'!B:B,'05-07-26'!A:A,"Savings",'05-07-26'!B:B,"&gt;0")</f>
        <v>0</v>
      </c>
      <c r="F42" s="18">
        <f>SUMIFS('05-07-26'!B:B,'05-07-26'!A:A,"Carry Over",'05-07-26'!B:B,"&gt;0")</f>
        <v>447.45000000000437</v>
      </c>
      <c r="G42" s="22">
        <f>SUMIFS('05-07-26'!B:B,'05-07-26'!A:A,"House")</f>
        <v>4000</v>
      </c>
    </row>
    <row r="43" spans="1:16" x14ac:dyDescent="0.35">
      <c r="A43" s="3" t="s">
        <v>172</v>
      </c>
      <c r="B43" s="29">
        <v>11930.98</v>
      </c>
      <c r="C43" s="21">
        <f>SUM('05-21-26'!B:B)</f>
        <v>11930.979999999996</v>
      </c>
      <c r="D43" s="16">
        <f t="shared" si="5"/>
        <v>0</v>
      </c>
      <c r="E43" s="17">
        <f>SUMIFS('05-21-26'!B:B,'05-21-26'!A:A,"Savings",'05-21-26'!B:B,"&gt;0")</f>
        <v>0</v>
      </c>
      <c r="F43" s="18">
        <f>SUMIFS('05-21-26'!B:B,'05-21-26'!A:A,"Carry Over",'05-21-26'!B:B,"&gt;0")</f>
        <v>141.35</v>
      </c>
      <c r="G43" s="22">
        <f>SUMIFS('05-21-26'!B:B,'05-21-26'!A:A,"House")</f>
        <v>4000</v>
      </c>
    </row>
    <row r="44" spans="1:16" x14ac:dyDescent="0.35">
      <c r="A44" s="3" t="s">
        <v>173</v>
      </c>
      <c r="B44" s="21">
        <f>39584.99-26215.02</f>
        <v>13369.969999999998</v>
      </c>
      <c r="C44" s="21">
        <f>SUM('06-04-26'!B:B)</f>
        <v>13369.970000000001</v>
      </c>
      <c r="D44" s="16">
        <f t="shared" si="5"/>
        <v>0</v>
      </c>
      <c r="E44" s="17">
        <f>SUMIFS('06-04-26'!B:B,'06-04-26'!A:A,"Savings",'06-04-26'!B:B,"&gt;0")</f>
        <v>1000</v>
      </c>
      <c r="F44" s="18">
        <f>SUMIFS('06-04-26'!B:B,'06-04-26'!A:A,"Carry Over",'06-04-26'!B:B,"&gt;0")</f>
        <v>3.58</v>
      </c>
      <c r="G44" s="22">
        <f>SUMIFS('06-04-26'!B:B,'06-04-26'!A:A,"House")</f>
        <v>4000</v>
      </c>
    </row>
    <row r="45" spans="1:16" x14ac:dyDescent="0.35">
      <c r="A45" s="3" t="s">
        <v>735</v>
      </c>
      <c r="B45" s="21">
        <v>12715.27</v>
      </c>
      <c r="C45" s="21">
        <f>SUM('06-18-26'!B:B)</f>
        <v>12564.92</v>
      </c>
      <c r="D45" s="16">
        <f t="shared" si="5"/>
        <v>150.35000000000036</v>
      </c>
      <c r="E45" s="17">
        <f>SUMIFS('06-18-26'!B:B,'06-18-26'!A:A,"Savings",'06-18-26'!B:B,"&gt;0")</f>
        <v>0</v>
      </c>
      <c r="F45" s="18">
        <f>SUMIFS('06-18-26'!B:B,'06-18-26'!A:A,"Carry Over",'06-18-26'!B:B,"&gt;0")</f>
        <v>0</v>
      </c>
      <c r="G45" s="22">
        <f>SUMIFS('06-18-26'!B:B,'06-18-26'!A:A,"House")</f>
        <v>4000</v>
      </c>
    </row>
  </sheetData>
  <phoneticPr fontId="1" type="noConversion"/>
  <conditionalFormatting sqref="J5">
    <cfRule type="cellIs" dxfId="283" priority="1" operator="notEqual">
      <formula>0</formula>
    </cfRule>
    <cfRule type="cellIs" dxfId="282" priority="2" operator="equal">
      <formula>0</formula>
    </cfRule>
  </conditionalFormatting>
  <pageMargins left="0.7" right="0.7" top="0.75" bottom="0.75" header="0.3" footer="0.3"/>
  <pageSetup orientation="portrait" r:id="rId1"/>
  <ignoredErrors>
    <ignoredError sqref="C2 D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NewEntry_Simpli_Reorg">
                <anchor>
                  <from>
                    <xdr:col>10</xdr:col>
                    <xdr:colOff>352425</xdr:colOff>
                    <xdr:row>1</xdr:row>
                    <xdr:rowOff>171450</xdr:rowOff>
                  </from>
                  <to>
                    <xdr:col>12</xdr:col>
                    <xdr:colOff>885825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SheetManager">
                <anchor>
                  <from>
                    <xdr:col>10</xdr:col>
                    <xdr:colOff>352425</xdr:colOff>
                    <xdr:row>4</xdr:row>
                    <xdr:rowOff>133350</xdr:rowOff>
                  </from>
                  <to>
                    <xdr:col>12</xdr:col>
                    <xdr:colOff>895350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penDeleteSheetForm">
                <anchor>
                  <from>
                    <xdr:col>10</xdr:col>
                    <xdr:colOff>352425</xdr:colOff>
                    <xdr:row>7</xdr:row>
                    <xdr:rowOff>85725</xdr:rowOff>
                  </from>
                  <to>
                    <xdr:col>12</xdr:col>
                    <xdr:colOff>895350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4148B-8A5F-438B-9C9F-127FC26A879D}">
  <sheetPr codeName="Sheet12"/>
  <dimension ref="A1:G130"/>
  <sheetViews>
    <sheetView topLeftCell="A84" zoomScaleNormal="100" workbookViewId="0">
      <selection activeCell="D129" sqref="D129"/>
    </sheetView>
  </sheetViews>
  <sheetFormatPr defaultColWidth="9.140625" defaultRowHeight="18" x14ac:dyDescent="0.35"/>
  <cols>
    <col min="1" max="1" width="15.7109375" style="3" bestFit="1" customWidth="1"/>
    <col min="2" max="2" width="13.42578125" style="14" bestFit="1" customWidth="1"/>
    <col min="3" max="3" width="11.85546875" style="3" bestFit="1" customWidth="1"/>
    <col min="4" max="4" width="61.7109375" style="3" bestFit="1" customWidth="1"/>
    <col min="5" max="5" width="10.28515625" style="3" bestFit="1" customWidth="1"/>
    <col min="6" max="6" width="9.42578125" style="3" bestFit="1" customWidth="1"/>
    <col min="7" max="7" width="11.5703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45848</v>
      </c>
    </row>
    <row r="2" spans="1:7" x14ac:dyDescent="0.35">
      <c r="A2" s="3" t="s">
        <v>59</v>
      </c>
      <c r="B2" s="14">
        <v>-1000</v>
      </c>
      <c r="C2" s="30">
        <v>45848</v>
      </c>
      <c r="D2" s="3" t="s">
        <v>174</v>
      </c>
    </row>
    <row r="3" spans="1:7" x14ac:dyDescent="0.35">
      <c r="A3" s="3" t="s">
        <v>72</v>
      </c>
      <c r="B3" s="14">
        <v>-1700</v>
      </c>
      <c r="C3" s="30">
        <v>45855</v>
      </c>
      <c r="D3" s="3" t="s">
        <v>175</v>
      </c>
    </row>
    <row r="4" spans="1:7" x14ac:dyDescent="0.35">
      <c r="A4" s="3" t="s">
        <v>40</v>
      </c>
      <c r="B4" s="14">
        <v>-30000</v>
      </c>
      <c r="C4" s="30">
        <v>45855</v>
      </c>
      <c r="D4" s="3" t="s">
        <v>176</v>
      </c>
    </row>
    <row r="5" spans="1:7" x14ac:dyDescent="0.35">
      <c r="A5" s="3" t="s">
        <v>40</v>
      </c>
      <c r="B5" s="14">
        <v>-4000</v>
      </c>
      <c r="C5" s="30">
        <v>45855</v>
      </c>
      <c r="D5" s="3" t="s">
        <v>177</v>
      </c>
    </row>
    <row r="6" spans="1:7" x14ac:dyDescent="0.35">
      <c r="A6" s="3" t="s">
        <v>59</v>
      </c>
      <c r="B6" s="14">
        <v>-4500</v>
      </c>
      <c r="C6" s="30">
        <v>45857</v>
      </c>
      <c r="D6" s="3" t="s">
        <v>178</v>
      </c>
    </row>
    <row r="7" spans="1:7" x14ac:dyDescent="0.35">
      <c r="A7" s="3" t="s">
        <v>78</v>
      </c>
      <c r="B7" s="14">
        <v>2673.17</v>
      </c>
      <c r="C7" s="30">
        <v>45859</v>
      </c>
      <c r="D7" s="3" t="s">
        <v>179</v>
      </c>
    </row>
    <row r="8" spans="1:7" x14ac:dyDescent="0.35">
      <c r="A8" s="3" t="s">
        <v>50</v>
      </c>
      <c r="B8" s="14">
        <v>100</v>
      </c>
      <c r="C8" s="30">
        <v>45859</v>
      </c>
      <c r="D8" s="3" t="s">
        <v>180</v>
      </c>
    </row>
    <row r="9" spans="1:7" x14ac:dyDescent="0.35">
      <c r="A9" s="3" t="s">
        <v>72</v>
      </c>
      <c r="B9" s="14">
        <v>-2273.17</v>
      </c>
      <c r="C9" s="30">
        <v>45864</v>
      </c>
      <c r="D9" s="3" t="s">
        <v>181</v>
      </c>
    </row>
    <row r="10" spans="1:7" x14ac:dyDescent="0.35">
      <c r="A10" s="3" t="s">
        <v>40</v>
      </c>
      <c r="B10" s="14">
        <v>-4000</v>
      </c>
      <c r="C10" s="30">
        <v>45869</v>
      </c>
      <c r="D10" s="3" t="s">
        <v>182</v>
      </c>
    </row>
    <row r="11" spans="1:7" x14ac:dyDescent="0.35">
      <c r="A11" s="3" t="s">
        <v>59</v>
      </c>
      <c r="B11" s="14">
        <v>-3000</v>
      </c>
      <c r="C11" s="30">
        <v>45870</v>
      </c>
      <c r="D11" s="3" t="s">
        <v>183</v>
      </c>
    </row>
    <row r="12" spans="1:7" x14ac:dyDescent="0.35">
      <c r="A12" s="3" t="s">
        <v>40</v>
      </c>
      <c r="B12" s="14">
        <v>-4000</v>
      </c>
      <c r="C12" s="30">
        <v>45883</v>
      </c>
      <c r="D12" s="3" t="s">
        <v>182</v>
      </c>
    </row>
    <row r="13" spans="1:7" x14ac:dyDescent="0.35">
      <c r="A13" s="3" t="s">
        <v>59</v>
      </c>
      <c r="B13" s="14">
        <v>-500</v>
      </c>
      <c r="C13" s="30">
        <v>45892</v>
      </c>
      <c r="D13" s="3" t="s">
        <v>184</v>
      </c>
    </row>
    <row r="14" spans="1:7" x14ac:dyDescent="0.35">
      <c r="A14" s="3" t="s">
        <v>59</v>
      </c>
      <c r="B14" s="14">
        <v>-4000</v>
      </c>
      <c r="C14" s="30">
        <v>45892</v>
      </c>
      <c r="D14" s="3" t="s">
        <v>178</v>
      </c>
    </row>
    <row r="15" spans="1:7" x14ac:dyDescent="0.35">
      <c r="A15" s="3" t="s">
        <v>78</v>
      </c>
      <c r="B15" s="14">
        <v>2673.17</v>
      </c>
      <c r="C15" s="30">
        <v>45892</v>
      </c>
      <c r="D15" s="3" t="s">
        <v>179</v>
      </c>
    </row>
    <row r="16" spans="1:7" x14ac:dyDescent="0.35">
      <c r="A16" s="3" t="s">
        <v>59</v>
      </c>
      <c r="B16" s="14">
        <v>-1000</v>
      </c>
      <c r="C16" s="30">
        <v>45892</v>
      </c>
      <c r="D16" s="3" t="s">
        <v>185</v>
      </c>
    </row>
    <row r="17" spans="1:4" x14ac:dyDescent="0.35">
      <c r="A17" s="3" t="s">
        <v>72</v>
      </c>
      <c r="B17" s="14">
        <v>-470</v>
      </c>
      <c r="C17" s="30">
        <v>45892</v>
      </c>
      <c r="D17" s="3" t="s">
        <v>186</v>
      </c>
    </row>
    <row r="18" spans="1:4" x14ac:dyDescent="0.35">
      <c r="A18" s="3" t="s">
        <v>72</v>
      </c>
      <c r="B18" s="14">
        <v>-203.17</v>
      </c>
      <c r="C18" s="30">
        <v>45892</v>
      </c>
      <c r="D18" s="3" t="s">
        <v>186</v>
      </c>
    </row>
    <row r="19" spans="1:4" x14ac:dyDescent="0.35">
      <c r="A19" s="3" t="s">
        <v>48</v>
      </c>
      <c r="B19" s="14">
        <v>5000</v>
      </c>
      <c r="C19" s="30">
        <v>45895</v>
      </c>
      <c r="D19" s="3" t="s">
        <v>187</v>
      </c>
    </row>
    <row r="20" spans="1:4" x14ac:dyDescent="0.35">
      <c r="A20" s="3" t="s">
        <v>59</v>
      </c>
      <c r="B20" s="14">
        <v>-3500</v>
      </c>
      <c r="C20" s="30">
        <v>45896</v>
      </c>
      <c r="D20" s="3" t="s">
        <v>188</v>
      </c>
    </row>
    <row r="21" spans="1:4" x14ac:dyDescent="0.35">
      <c r="A21" s="3" t="s">
        <v>40</v>
      </c>
      <c r="B21" s="14">
        <v>-6000</v>
      </c>
      <c r="C21" s="30">
        <v>45896</v>
      </c>
      <c r="D21" s="3" t="s">
        <v>189</v>
      </c>
    </row>
    <row r="22" spans="1:4" x14ac:dyDescent="0.35">
      <c r="A22" s="3" t="s">
        <v>72</v>
      </c>
      <c r="B22" s="14">
        <v>-500</v>
      </c>
      <c r="C22" s="30">
        <v>45897</v>
      </c>
      <c r="D22" s="3" t="s">
        <v>190</v>
      </c>
    </row>
    <row r="23" spans="1:4" x14ac:dyDescent="0.35">
      <c r="A23" s="3" t="s">
        <v>40</v>
      </c>
      <c r="B23" s="14">
        <v>-4000</v>
      </c>
      <c r="C23" s="30">
        <v>45897</v>
      </c>
      <c r="D23" s="3" t="s">
        <v>182</v>
      </c>
    </row>
    <row r="24" spans="1:4" x14ac:dyDescent="0.35">
      <c r="A24" s="3" t="s">
        <v>72</v>
      </c>
      <c r="B24" s="14">
        <v>-2500</v>
      </c>
      <c r="C24" s="30">
        <v>45904</v>
      </c>
      <c r="D24" s="3" t="s">
        <v>191</v>
      </c>
    </row>
    <row r="25" spans="1:4" x14ac:dyDescent="0.35">
      <c r="A25" s="3" t="s">
        <v>40</v>
      </c>
      <c r="B25" s="14">
        <v>11500</v>
      </c>
      <c r="C25" s="30">
        <v>45904</v>
      </c>
      <c r="D25" s="3" t="s">
        <v>192</v>
      </c>
    </row>
    <row r="26" spans="1:4" x14ac:dyDescent="0.35">
      <c r="A26" s="3" t="s">
        <v>40</v>
      </c>
      <c r="B26" s="14">
        <v>10000</v>
      </c>
      <c r="C26" s="30">
        <v>45907</v>
      </c>
      <c r="D26" s="3" t="s">
        <v>193</v>
      </c>
    </row>
    <row r="27" spans="1:4" x14ac:dyDescent="0.35">
      <c r="A27" s="3" t="s">
        <v>40</v>
      </c>
      <c r="B27" s="14">
        <v>-4000</v>
      </c>
      <c r="C27" s="30">
        <v>45911</v>
      </c>
      <c r="D27" s="3" t="s">
        <v>194</v>
      </c>
    </row>
    <row r="28" spans="1:4" x14ac:dyDescent="0.35">
      <c r="A28" s="3" t="s">
        <v>72</v>
      </c>
      <c r="B28" s="14">
        <v>-2000</v>
      </c>
      <c r="C28" s="30">
        <v>45911</v>
      </c>
      <c r="D28" s="3" t="s">
        <v>195</v>
      </c>
    </row>
    <row r="29" spans="1:4" x14ac:dyDescent="0.35">
      <c r="A29" s="3" t="s">
        <v>87</v>
      </c>
      <c r="B29" s="14">
        <v>6000</v>
      </c>
      <c r="C29" s="30">
        <v>45920</v>
      </c>
      <c r="D29" s="3" t="s">
        <v>196</v>
      </c>
    </row>
    <row r="30" spans="1:4" x14ac:dyDescent="0.35">
      <c r="A30" s="3" t="s">
        <v>59</v>
      </c>
      <c r="B30" s="14">
        <v>-2000</v>
      </c>
      <c r="C30" s="30">
        <v>45925</v>
      </c>
      <c r="D30" s="3" t="s">
        <v>197</v>
      </c>
    </row>
    <row r="31" spans="1:4" x14ac:dyDescent="0.35">
      <c r="A31" s="3" t="s">
        <v>92</v>
      </c>
      <c r="B31" s="14">
        <v>2000</v>
      </c>
      <c r="C31" s="30">
        <v>45925</v>
      </c>
      <c r="D31" s="3" t="s">
        <v>198</v>
      </c>
    </row>
    <row r="32" spans="1:4" x14ac:dyDescent="0.35">
      <c r="A32" s="3" t="s">
        <v>78</v>
      </c>
      <c r="B32" s="14">
        <v>2673.17</v>
      </c>
      <c r="C32" s="30">
        <v>45925</v>
      </c>
      <c r="D32" s="3" t="s">
        <v>179</v>
      </c>
    </row>
    <row r="33" spans="1:4" x14ac:dyDescent="0.35">
      <c r="A33" s="3" t="s">
        <v>72</v>
      </c>
      <c r="B33" s="14">
        <v>-173.17</v>
      </c>
      <c r="C33" s="30">
        <v>45925</v>
      </c>
      <c r="D33" s="3" t="s">
        <v>199</v>
      </c>
    </row>
    <row r="34" spans="1:4" x14ac:dyDescent="0.35">
      <c r="A34" s="3" t="s">
        <v>40</v>
      </c>
      <c r="B34" s="14">
        <v>-4000</v>
      </c>
      <c r="C34" s="30">
        <v>45925</v>
      </c>
      <c r="D34" s="3" t="s">
        <v>182</v>
      </c>
    </row>
    <row r="35" spans="1:4" x14ac:dyDescent="0.35">
      <c r="A35" s="3" t="s">
        <v>72</v>
      </c>
      <c r="B35" s="14">
        <v>-3000</v>
      </c>
      <c r="C35" s="30">
        <v>45925</v>
      </c>
      <c r="D35" s="3" t="s">
        <v>200</v>
      </c>
    </row>
    <row r="36" spans="1:4" x14ac:dyDescent="0.35">
      <c r="A36" s="3" t="s">
        <v>40</v>
      </c>
      <c r="B36" s="14">
        <v>-5000</v>
      </c>
      <c r="C36" s="30">
        <v>45925</v>
      </c>
      <c r="D36" s="3" t="s">
        <v>189</v>
      </c>
    </row>
    <row r="37" spans="1:4" x14ac:dyDescent="0.35">
      <c r="A37" s="3" t="s">
        <v>57</v>
      </c>
      <c r="B37" s="14">
        <v>1000</v>
      </c>
      <c r="C37" s="30">
        <v>45927</v>
      </c>
      <c r="D37" s="3" t="s">
        <v>201</v>
      </c>
    </row>
    <row r="38" spans="1:4" x14ac:dyDescent="0.35">
      <c r="A38" s="3" t="s">
        <v>49</v>
      </c>
      <c r="B38" s="14">
        <v>600</v>
      </c>
      <c r="C38" s="30">
        <v>45928</v>
      </c>
      <c r="D38" s="3" t="s">
        <v>202</v>
      </c>
    </row>
    <row r="39" spans="1:4" x14ac:dyDescent="0.35">
      <c r="A39" s="3" t="s">
        <v>33</v>
      </c>
      <c r="B39" s="14">
        <v>400</v>
      </c>
      <c r="C39" s="30">
        <v>45928</v>
      </c>
      <c r="D39" s="3" t="s">
        <v>203</v>
      </c>
    </row>
    <row r="40" spans="1:4" x14ac:dyDescent="0.35">
      <c r="A40" s="3" t="s">
        <v>87</v>
      </c>
      <c r="B40" s="14">
        <v>2000</v>
      </c>
      <c r="C40" s="30">
        <v>45932</v>
      </c>
      <c r="D40" s="3" t="s">
        <v>204</v>
      </c>
    </row>
    <row r="41" spans="1:4" x14ac:dyDescent="0.35">
      <c r="A41" s="3" t="s">
        <v>40</v>
      </c>
      <c r="B41" s="14">
        <v>10000</v>
      </c>
      <c r="C41" s="30">
        <v>45934</v>
      </c>
      <c r="D41" s="3" t="s">
        <v>205</v>
      </c>
    </row>
    <row r="42" spans="1:4" x14ac:dyDescent="0.35">
      <c r="A42" s="3" t="s">
        <v>87</v>
      </c>
      <c r="B42" s="14">
        <v>3500</v>
      </c>
      <c r="C42" s="30">
        <v>45934</v>
      </c>
      <c r="D42" s="3" t="s">
        <v>206</v>
      </c>
    </row>
    <row r="43" spans="1:4" x14ac:dyDescent="0.35">
      <c r="A43" s="3" t="s">
        <v>40</v>
      </c>
      <c r="B43" s="14">
        <v>-2000</v>
      </c>
      <c r="C43" s="30">
        <v>45934</v>
      </c>
      <c r="D43" s="3" t="s">
        <v>207</v>
      </c>
    </row>
    <row r="44" spans="1:4" x14ac:dyDescent="0.35">
      <c r="A44" s="3" t="s">
        <v>84</v>
      </c>
      <c r="B44" s="14">
        <v>2000</v>
      </c>
      <c r="C44" s="30">
        <v>45934</v>
      </c>
      <c r="D44" s="3" t="s">
        <v>208</v>
      </c>
    </row>
    <row r="45" spans="1:4" x14ac:dyDescent="0.35">
      <c r="A45" s="3" t="s">
        <v>87</v>
      </c>
      <c r="B45" s="14">
        <v>3000</v>
      </c>
      <c r="C45" s="30">
        <v>45935</v>
      </c>
      <c r="D45" s="3" t="s">
        <v>209</v>
      </c>
    </row>
    <row r="46" spans="1:4" x14ac:dyDescent="0.35">
      <c r="A46" s="3" t="s">
        <v>59</v>
      </c>
      <c r="B46" s="14">
        <v>-5000</v>
      </c>
      <c r="C46" s="30">
        <v>45941</v>
      </c>
      <c r="D46" s="3" t="s">
        <v>210</v>
      </c>
    </row>
    <row r="47" spans="1:4" x14ac:dyDescent="0.35">
      <c r="A47" s="3" t="s">
        <v>59</v>
      </c>
      <c r="B47" s="14">
        <v>-5000</v>
      </c>
      <c r="C47" s="30">
        <v>45941</v>
      </c>
      <c r="D47" s="3" t="s">
        <v>211</v>
      </c>
    </row>
    <row r="48" spans="1:4" x14ac:dyDescent="0.35">
      <c r="A48" s="3" t="s">
        <v>59</v>
      </c>
      <c r="B48" s="14">
        <v>-1000</v>
      </c>
      <c r="C48" s="30">
        <v>45941</v>
      </c>
      <c r="D48" s="3" t="s">
        <v>212</v>
      </c>
    </row>
    <row r="49" spans="1:4" x14ac:dyDescent="0.35">
      <c r="A49" s="3" t="s">
        <v>40</v>
      </c>
      <c r="B49" s="14">
        <v>-4000</v>
      </c>
      <c r="C49" s="30">
        <v>45941</v>
      </c>
      <c r="D49" s="3" t="s">
        <v>177</v>
      </c>
    </row>
    <row r="50" spans="1:4" x14ac:dyDescent="0.35">
      <c r="A50" s="3" t="s">
        <v>9</v>
      </c>
      <c r="B50" s="14">
        <v>9200</v>
      </c>
      <c r="C50" s="30">
        <v>45949</v>
      </c>
      <c r="D50" s="3" t="s">
        <v>213</v>
      </c>
    </row>
    <row r="51" spans="1:4" x14ac:dyDescent="0.35">
      <c r="A51" s="3" t="s">
        <v>59</v>
      </c>
      <c r="B51" s="14">
        <v>-2000</v>
      </c>
      <c r="C51" s="30">
        <v>45951</v>
      </c>
      <c r="D51" s="3" t="s">
        <v>214</v>
      </c>
    </row>
    <row r="52" spans="1:4" x14ac:dyDescent="0.35">
      <c r="A52" s="3" t="s">
        <v>78</v>
      </c>
      <c r="B52" s="14">
        <v>2000</v>
      </c>
      <c r="C52" s="30">
        <v>45953</v>
      </c>
      <c r="D52" s="3" t="s">
        <v>215</v>
      </c>
    </row>
    <row r="53" spans="1:4" x14ac:dyDescent="0.35">
      <c r="A53" s="3" t="s">
        <v>40</v>
      </c>
      <c r="B53" s="14">
        <v>-4000</v>
      </c>
      <c r="C53" s="30">
        <v>45953</v>
      </c>
      <c r="D53" s="3" t="s">
        <v>177</v>
      </c>
    </row>
    <row r="54" spans="1:4" x14ac:dyDescent="0.35">
      <c r="A54" s="3" t="s">
        <v>40</v>
      </c>
      <c r="B54" s="14">
        <v>-4000</v>
      </c>
      <c r="C54" s="30">
        <v>45972</v>
      </c>
      <c r="D54" s="3" t="s">
        <v>177</v>
      </c>
    </row>
    <row r="55" spans="1:4" x14ac:dyDescent="0.35">
      <c r="A55" s="3" t="s">
        <v>40</v>
      </c>
      <c r="B55" s="14">
        <v>10000</v>
      </c>
      <c r="C55" s="30">
        <v>45981</v>
      </c>
      <c r="D55" s="3" t="s">
        <v>216</v>
      </c>
    </row>
    <row r="56" spans="1:4" x14ac:dyDescent="0.35">
      <c r="A56" s="3" t="s">
        <v>40</v>
      </c>
      <c r="B56" s="14">
        <v>-4000</v>
      </c>
      <c r="C56" s="30">
        <v>45981</v>
      </c>
      <c r="D56" s="3" t="s">
        <v>217</v>
      </c>
    </row>
    <row r="57" spans="1:4" x14ac:dyDescent="0.35">
      <c r="A57" s="3" t="s">
        <v>72</v>
      </c>
      <c r="B57" s="14">
        <v>-3000</v>
      </c>
      <c r="C57" s="30">
        <v>45981</v>
      </c>
      <c r="D57" s="3" t="s">
        <v>218</v>
      </c>
    </row>
    <row r="58" spans="1:4" x14ac:dyDescent="0.35">
      <c r="A58" s="3" t="s">
        <v>59</v>
      </c>
      <c r="B58" s="14">
        <v>-2000</v>
      </c>
      <c r="C58" s="30">
        <v>45989</v>
      </c>
      <c r="D58" s="3" t="s">
        <v>219</v>
      </c>
    </row>
    <row r="59" spans="1:4" x14ac:dyDescent="0.35">
      <c r="A59" s="3" t="s">
        <v>78</v>
      </c>
      <c r="B59" s="14">
        <v>2000</v>
      </c>
      <c r="C59" s="30">
        <v>45989</v>
      </c>
      <c r="D59" s="3" t="s">
        <v>220</v>
      </c>
    </row>
    <row r="60" spans="1:4" x14ac:dyDescent="0.35">
      <c r="A60" s="3" t="s">
        <v>72</v>
      </c>
      <c r="B60" s="14">
        <v>-4500</v>
      </c>
      <c r="C60" s="30">
        <v>45989</v>
      </c>
      <c r="D60" s="3" t="s">
        <v>221</v>
      </c>
    </row>
    <row r="61" spans="1:4" x14ac:dyDescent="0.35">
      <c r="A61" s="3" t="s">
        <v>72</v>
      </c>
      <c r="B61" s="14">
        <v>-3000</v>
      </c>
      <c r="C61" s="30">
        <v>45989</v>
      </c>
      <c r="D61" s="3" t="s">
        <v>218</v>
      </c>
    </row>
    <row r="62" spans="1:4" x14ac:dyDescent="0.35">
      <c r="A62" s="3" t="s">
        <v>40</v>
      </c>
      <c r="B62" s="14">
        <v>-1300</v>
      </c>
      <c r="C62" s="30">
        <v>45989</v>
      </c>
      <c r="D62" s="3" t="s">
        <v>222</v>
      </c>
    </row>
    <row r="63" spans="1:4" x14ac:dyDescent="0.35">
      <c r="A63" s="3" t="s">
        <v>87</v>
      </c>
      <c r="B63" s="14">
        <v>500</v>
      </c>
      <c r="C63" s="30">
        <v>45991</v>
      </c>
      <c r="D63" s="3" t="s">
        <v>223</v>
      </c>
    </row>
    <row r="64" spans="1:4" x14ac:dyDescent="0.35">
      <c r="A64" s="3" t="s">
        <v>59</v>
      </c>
      <c r="B64" s="14">
        <v>-4500</v>
      </c>
      <c r="C64" s="30">
        <v>45995</v>
      </c>
      <c r="D64" s="3" t="s">
        <v>224</v>
      </c>
    </row>
    <row r="65" spans="1:4" x14ac:dyDescent="0.35">
      <c r="A65" s="3" t="s">
        <v>40</v>
      </c>
      <c r="B65" s="14">
        <v>-4000</v>
      </c>
      <c r="C65" s="30">
        <v>46001</v>
      </c>
      <c r="D65" s="3" t="s">
        <v>182</v>
      </c>
    </row>
    <row r="66" spans="1:4" x14ac:dyDescent="0.35">
      <c r="A66" s="3" t="s">
        <v>72</v>
      </c>
      <c r="B66" s="14">
        <v>-2000</v>
      </c>
      <c r="C66" s="30">
        <v>46001</v>
      </c>
      <c r="D66" s="3" t="s">
        <v>225</v>
      </c>
    </row>
    <row r="67" spans="1:4" x14ac:dyDescent="0.35">
      <c r="A67" s="3" t="s">
        <v>72</v>
      </c>
      <c r="B67" s="14">
        <v>-3000</v>
      </c>
      <c r="C67" s="30">
        <v>46001</v>
      </c>
      <c r="D67" s="3" t="s">
        <v>221</v>
      </c>
    </row>
    <row r="68" spans="1:4" x14ac:dyDescent="0.35">
      <c r="A68" s="3" t="s">
        <v>50</v>
      </c>
      <c r="B68" s="14">
        <v>100</v>
      </c>
      <c r="C68" s="30">
        <v>46001</v>
      </c>
      <c r="D68" s="3" t="s">
        <v>226</v>
      </c>
    </row>
    <row r="69" spans="1:4" x14ac:dyDescent="0.35">
      <c r="A69" s="3" t="s">
        <v>72</v>
      </c>
      <c r="B69" s="14">
        <v>-3500</v>
      </c>
      <c r="C69" s="30">
        <v>46007</v>
      </c>
      <c r="D69" s="3" t="s">
        <v>221</v>
      </c>
    </row>
    <row r="70" spans="1:4" x14ac:dyDescent="0.35">
      <c r="A70" s="3" t="s">
        <v>72</v>
      </c>
      <c r="B70" s="14">
        <v>-500</v>
      </c>
      <c r="C70" s="30">
        <v>46009</v>
      </c>
      <c r="D70" s="3" t="s">
        <v>227</v>
      </c>
    </row>
    <row r="71" spans="1:4" x14ac:dyDescent="0.35">
      <c r="A71" s="3" t="s">
        <v>87</v>
      </c>
      <c r="B71" s="14">
        <v>15000</v>
      </c>
      <c r="C71" s="30">
        <v>46009</v>
      </c>
      <c r="D71" s="3" t="s">
        <v>228</v>
      </c>
    </row>
    <row r="72" spans="1:4" x14ac:dyDescent="0.35">
      <c r="A72" s="3" t="s">
        <v>40</v>
      </c>
      <c r="B72" s="14">
        <v>-4000</v>
      </c>
      <c r="C72" s="30">
        <v>46009</v>
      </c>
      <c r="D72" s="3" t="s">
        <v>182</v>
      </c>
    </row>
    <row r="73" spans="1:4" x14ac:dyDescent="0.35">
      <c r="A73" s="3" t="s">
        <v>59</v>
      </c>
      <c r="B73" s="14">
        <v>-2000</v>
      </c>
      <c r="C73" s="30">
        <v>45647</v>
      </c>
      <c r="D73" s="3" t="s">
        <v>229</v>
      </c>
    </row>
    <row r="74" spans="1:4" x14ac:dyDescent="0.35">
      <c r="A74" s="3" t="s">
        <v>78</v>
      </c>
      <c r="B74" s="14">
        <v>2000</v>
      </c>
      <c r="C74" s="30">
        <v>45647</v>
      </c>
      <c r="D74" s="3" t="s">
        <v>179</v>
      </c>
    </row>
    <row r="75" spans="1:4" x14ac:dyDescent="0.35">
      <c r="A75" s="3" t="s">
        <v>40</v>
      </c>
      <c r="B75" s="14">
        <v>-4000</v>
      </c>
      <c r="C75" s="30">
        <v>45658</v>
      </c>
      <c r="D75" s="3" t="s">
        <v>230</v>
      </c>
    </row>
    <row r="76" spans="1:4" x14ac:dyDescent="0.35">
      <c r="A76" s="3" t="s">
        <v>72</v>
      </c>
      <c r="B76" s="14">
        <v>-1000</v>
      </c>
      <c r="C76" s="30">
        <v>45658</v>
      </c>
      <c r="D76" s="3" t="s">
        <v>231</v>
      </c>
    </row>
    <row r="77" spans="1:4" x14ac:dyDescent="0.35">
      <c r="A77" s="3" t="s">
        <v>72</v>
      </c>
      <c r="B77" s="14">
        <v>-10000</v>
      </c>
      <c r="C77" s="30">
        <v>45672</v>
      </c>
      <c r="D77" s="3" t="s">
        <v>232</v>
      </c>
    </row>
    <row r="78" spans="1:4" x14ac:dyDescent="0.35">
      <c r="A78" s="3" t="s">
        <v>72</v>
      </c>
      <c r="B78" s="14">
        <v>-2000</v>
      </c>
      <c r="C78" s="30">
        <v>45672</v>
      </c>
      <c r="D78" s="3" t="s">
        <v>233</v>
      </c>
    </row>
    <row r="79" spans="1:4" x14ac:dyDescent="0.35">
      <c r="A79" s="3" t="s">
        <v>72</v>
      </c>
      <c r="B79" s="14">
        <v>-1500</v>
      </c>
      <c r="C79" s="30">
        <v>45672</v>
      </c>
      <c r="D79" s="3" t="s">
        <v>234</v>
      </c>
    </row>
    <row r="80" spans="1:4" x14ac:dyDescent="0.35">
      <c r="A80" s="3" t="s">
        <v>59</v>
      </c>
      <c r="B80" s="14">
        <v>-2500</v>
      </c>
      <c r="C80" s="30">
        <v>45672</v>
      </c>
      <c r="D80" s="3" t="s">
        <v>235</v>
      </c>
    </row>
    <row r="81" spans="1:4" x14ac:dyDescent="0.35">
      <c r="A81" s="3" t="s">
        <v>40</v>
      </c>
      <c r="B81" s="14">
        <v>-4000</v>
      </c>
      <c r="C81" s="30">
        <v>45672</v>
      </c>
      <c r="D81" s="3" t="s">
        <v>236</v>
      </c>
    </row>
    <row r="82" spans="1:4" x14ac:dyDescent="0.35">
      <c r="A82" s="3" t="s">
        <v>72</v>
      </c>
      <c r="B82" s="14">
        <v>-2000</v>
      </c>
      <c r="C82" s="30">
        <v>46038</v>
      </c>
      <c r="D82" s="3" t="s">
        <v>221</v>
      </c>
    </row>
    <row r="83" spans="1:4" x14ac:dyDescent="0.35">
      <c r="A83" s="3" t="s">
        <v>40</v>
      </c>
      <c r="B83" s="14">
        <v>-2600</v>
      </c>
      <c r="C83" s="30">
        <v>46042</v>
      </c>
      <c r="D83" s="3" t="s">
        <v>237</v>
      </c>
    </row>
    <row r="84" spans="1:4" x14ac:dyDescent="0.35">
      <c r="A84" s="3" t="s">
        <v>40</v>
      </c>
      <c r="B84" s="14">
        <v>-4000</v>
      </c>
      <c r="C84" s="30">
        <v>46051</v>
      </c>
      <c r="D84" s="3" t="s">
        <v>238</v>
      </c>
    </row>
    <row r="85" spans="1:4" x14ac:dyDescent="0.35">
      <c r="A85" s="3" t="s">
        <v>72</v>
      </c>
      <c r="B85" s="14">
        <v>-6000</v>
      </c>
      <c r="C85" s="30">
        <v>46051</v>
      </c>
      <c r="D85" s="3" t="s">
        <v>239</v>
      </c>
    </row>
    <row r="86" spans="1:4" x14ac:dyDescent="0.35">
      <c r="A86" s="3" t="s">
        <v>72</v>
      </c>
      <c r="B86" s="14">
        <v>-1400</v>
      </c>
      <c r="C86" s="30">
        <v>46062</v>
      </c>
      <c r="D86" s="30" t="s">
        <v>240</v>
      </c>
    </row>
    <row r="87" spans="1:4" x14ac:dyDescent="0.35">
      <c r="A87" s="3" t="s">
        <v>72</v>
      </c>
      <c r="B87" s="14">
        <v>-2000</v>
      </c>
      <c r="C87" s="30">
        <v>46065</v>
      </c>
      <c r="D87" s="3" t="s">
        <v>241</v>
      </c>
    </row>
    <row r="88" spans="1:4" x14ac:dyDescent="0.35">
      <c r="A88" s="3" t="s">
        <v>40</v>
      </c>
      <c r="B88" s="14">
        <v>-4000</v>
      </c>
      <c r="C88" s="30">
        <v>46065</v>
      </c>
      <c r="D88" s="3" t="s">
        <v>242</v>
      </c>
    </row>
    <row r="89" spans="1:4" x14ac:dyDescent="0.35">
      <c r="A89" s="3" t="s">
        <v>40</v>
      </c>
      <c r="B89" s="14">
        <v>-1300</v>
      </c>
      <c r="C89" s="30">
        <v>46065</v>
      </c>
      <c r="D89" s="3" t="s">
        <v>243</v>
      </c>
    </row>
    <row r="90" spans="1:4" x14ac:dyDescent="0.35">
      <c r="A90" s="3" t="s">
        <v>40</v>
      </c>
      <c r="B90" s="14">
        <v>10000</v>
      </c>
      <c r="C90" s="30">
        <v>46074</v>
      </c>
      <c r="D90" s="3" t="s">
        <v>244</v>
      </c>
    </row>
    <row r="91" spans="1:4" x14ac:dyDescent="0.35">
      <c r="A91" s="3" t="s">
        <v>87</v>
      </c>
      <c r="B91" s="14">
        <v>20000</v>
      </c>
      <c r="C91" s="30">
        <v>46076</v>
      </c>
      <c r="D91" s="3" t="s">
        <v>245</v>
      </c>
    </row>
    <row r="92" spans="1:4" x14ac:dyDescent="0.35">
      <c r="A92" s="3" t="s">
        <v>59</v>
      </c>
      <c r="B92" s="14">
        <v>-2000</v>
      </c>
      <c r="C92" s="30">
        <v>46076</v>
      </c>
      <c r="D92" s="3" t="s">
        <v>246</v>
      </c>
    </row>
    <row r="93" spans="1:4" x14ac:dyDescent="0.35">
      <c r="A93" s="3" t="s">
        <v>72</v>
      </c>
      <c r="B93" s="14">
        <v>-1000</v>
      </c>
      <c r="C93" s="30">
        <v>46078</v>
      </c>
      <c r="D93" s="3" t="s">
        <v>247</v>
      </c>
    </row>
    <row r="94" spans="1:4" x14ac:dyDescent="0.35">
      <c r="A94" s="3" t="s">
        <v>40</v>
      </c>
      <c r="B94" s="14">
        <v>-4000</v>
      </c>
      <c r="C94" s="30">
        <v>46079</v>
      </c>
      <c r="D94" s="3" t="s">
        <v>248</v>
      </c>
    </row>
    <row r="95" spans="1:4" x14ac:dyDescent="0.35">
      <c r="A95" s="3" t="s">
        <v>59</v>
      </c>
      <c r="B95" s="14">
        <v>-5000</v>
      </c>
      <c r="C95" s="30">
        <v>46079</v>
      </c>
      <c r="D95" s="3" t="s">
        <v>249</v>
      </c>
    </row>
    <row r="96" spans="1:4" x14ac:dyDescent="0.35">
      <c r="A96" s="3" t="s">
        <v>59</v>
      </c>
      <c r="B96" s="14">
        <v>-1000</v>
      </c>
      <c r="C96" s="30">
        <v>46081</v>
      </c>
      <c r="D96" s="3" t="s">
        <v>250</v>
      </c>
    </row>
    <row r="97" spans="1:4" x14ac:dyDescent="0.35">
      <c r="A97" s="3" t="s">
        <v>40</v>
      </c>
      <c r="B97" s="14">
        <v>-4000</v>
      </c>
      <c r="C97" s="30">
        <v>46093</v>
      </c>
      <c r="D97" s="3" t="s">
        <v>251</v>
      </c>
    </row>
    <row r="98" spans="1:4" x14ac:dyDescent="0.35">
      <c r="A98" s="3" t="s">
        <v>59</v>
      </c>
      <c r="B98" s="14">
        <v>-3000</v>
      </c>
      <c r="C98" s="30">
        <v>46102</v>
      </c>
      <c r="D98" s="3" t="s">
        <v>252</v>
      </c>
    </row>
    <row r="99" spans="1:4" x14ac:dyDescent="0.35">
      <c r="A99" s="3" t="s">
        <v>87</v>
      </c>
      <c r="B99" s="14">
        <v>6000</v>
      </c>
      <c r="C99" s="30">
        <v>46102</v>
      </c>
      <c r="D99" s="3" t="s">
        <v>253</v>
      </c>
    </row>
    <row r="100" spans="1:4" x14ac:dyDescent="0.35">
      <c r="A100" s="3" t="s">
        <v>87</v>
      </c>
      <c r="B100" s="14">
        <v>5000</v>
      </c>
      <c r="C100" s="30">
        <v>46102</v>
      </c>
      <c r="D100" s="3" t="s">
        <v>254</v>
      </c>
    </row>
    <row r="101" spans="1:4" x14ac:dyDescent="0.35">
      <c r="A101" s="3" t="s">
        <v>87</v>
      </c>
      <c r="B101" s="14">
        <v>3000</v>
      </c>
      <c r="C101" s="30">
        <v>46104</v>
      </c>
      <c r="D101" s="3" t="s">
        <v>255</v>
      </c>
    </row>
    <row r="102" spans="1:4" x14ac:dyDescent="0.35">
      <c r="A102" s="3" t="s">
        <v>72</v>
      </c>
      <c r="B102" s="14">
        <v>-1000</v>
      </c>
      <c r="C102" s="30">
        <v>46107</v>
      </c>
      <c r="D102" s="3" t="s">
        <v>256</v>
      </c>
    </row>
    <row r="103" spans="1:4" x14ac:dyDescent="0.35">
      <c r="A103" s="3" t="s">
        <v>40</v>
      </c>
      <c r="B103" s="14">
        <v>-4000</v>
      </c>
      <c r="C103" s="30">
        <v>46107</v>
      </c>
      <c r="D103" s="3" t="s">
        <v>257</v>
      </c>
    </row>
    <row r="104" spans="1:4" x14ac:dyDescent="0.35">
      <c r="A104" s="3" t="s">
        <v>29</v>
      </c>
      <c r="B104" s="14">
        <v>41000</v>
      </c>
      <c r="C104" s="30">
        <v>46111</v>
      </c>
      <c r="D104" s="3" t="s">
        <v>258</v>
      </c>
    </row>
    <row r="105" spans="1:4" x14ac:dyDescent="0.35">
      <c r="A105" s="3" t="s">
        <v>59</v>
      </c>
      <c r="B105" s="14">
        <v>-5500</v>
      </c>
      <c r="C105" s="30">
        <v>46111</v>
      </c>
      <c r="D105" s="3" t="s">
        <v>259</v>
      </c>
    </row>
    <row r="106" spans="1:4" x14ac:dyDescent="0.35">
      <c r="A106" s="3" t="s">
        <v>59</v>
      </c>
      <c r="B106" s="14">
        <v>-1200</v>
      </c>
      <c r="C106" s="30">
        <v>46111</v>
      </c>
      <c r="D106" s="3" t="s">
        <v>260</v>
      </c>
    </row>
    <row r="107" spans="1:4" x14ac:dyDescent="0.35">
      <c r="A107" s="3" t="s">
        <v>40</v>
      </c>
      <c r="B107" s="14">
        <v>-1300</v>
      </c>
      <c r="C107" s="30">
        <v>46111</v>
      </c>
      <c r="D107" s="3" t="s">
        <v>261</v>
      </c>
    </row>
    <row r="108" spans="1:4" x14ac:dyDescent="0.35">
      <c r="A108" s="3" t="s">
        <v>40</v>
      </c>
      <c r="B108" s="14">
        <v>-4000</v>
      </c>
      <c r="C108" s="30">
        <v>46121</v>
      </c>
      <c r="D108" s="3" t="s">
        <v>262</v>
      </c>
    </row>
    <row r="109" spans="1:4" x14ac:dyDescent="0.35">
      <c r="A109" s="3" t="s">
        <v>59</v>
      </c>
      <c r="B109" s="14">
        <v>-6000</v>
      </c>
      <c r="C109" s="30">
        <v>46122</v>
      </c>
      <c r="D109" s="3" t="s">
        <v>210</v>
      </c>
    </row>
    <row r="110" spans="1:4" x14ac:dyDescent="0.35">
      <c r="A110" s="3" t="s">
        <v>59</v>
      </c>
      <c r="B110" s="14">
        <v>-500</v>
      </c>
      <c r="C110" s="30">
        <v>46122</v>
      </c>
      <c r="D110" s="3" t="s">
        <v>263</v>
      </c>
    </row>
    <row r="111" spans="1:4" x14ac:dyDescent="0.35">
      <c r="A111" s="3" t="s">
        <v>87</v>
      </c>
      <c r="B111" s="14">
        <v>2500</v>
      </c>
      <c r="C111" s="30">
        <v>46129</v>
      </c>
      <c r="D111" s="3" t="s">
        <v>264</v>
      </c>
    </row>
    <row r="112" spans="1:4" x14ac:dyDescent="0.35">
      <c r="A112" s="3" t="s">
        <v>59</v>
      </c>
      <c r="B112" s="14">
        <v>-2500</v>
      </c>
      <c r="C112" s="30">
        <v>46135</v>
      </c>
      <c r="D112" s="23" t="s">
        <v>260</v>
      </c>
    </row>
    <row r="113" spans="1:4" x14ac:dyDescent="0.35">
      <c r="A113" s="3" t="s">
        <v>59</v>
      </c>
      <c r="B113" s="14">
        <v>-1000</v>
      </c>
      <c r="C113" s="30">
        <v>46122</v>
      </c>
      <c r="D113" s="3" t="s">
        <v>265</v>
      </c>
    </row>
    <row r="114" spans="1:4" x14ac:dyDescent="0.35">
      <c r="A114" s="3" t="s">
        <v>40</v>
      </c>
      <c r="B114" s="14">
        <v>-4000</v>
      </c>
      <c r="C114" s="30">
        <v>46141</v>
      </c>
      <c r="D114" s="3" t="s">
        <v>266</v>
      </c>
    </row>
    <row r="115" spans="1:4" x14ac:dyDescent="0.35">
      <c r="A115" s="3" t="s">
        <v>40</v>
      </c>
      <c r="B115" s="14">
        <v>-4000</v>
      </c>
      <c r="C115" s="30">
        <v>46149</v>
      </c>
      <c r="D115" s="3" t="s">
        <v>267</v>
      </c>
    </row>
    <row r="116" spans="1:4" x14ac:dyDescent="0.35">
      <c r="A116" s="3" t="s">
        <v>59</v>
      </c>
      <c r="B116" s="14">
        <v>-5000</v>
      </c>
      <c r="C116" s="30">
        <v>46149</v>
      </c>
      <c r="D116" s="3" t="s">
        <v>268</v>
      </c>
    </row>
    <row r="117" spans="1:4" x14ac:dyDescent="0.35">
      <c r="A117" s="3" t="s">
        <v>72</v>
      </c>
      <c r="B117" s="14">
        <v>-1000</v>
      </c>
      <c r="C117" s="30">
        <v>46149</v>
      </c>
      <c r="D117" s="3" t="s">
        <v>269</v>
      </c>
    </row>
    <row r="118" spans="1:4" x14ac:dyDescent="0.35">
      <c r="A118" s="3" t="s">
        <v>72</v>
      </c>
      <c r="B118" s="14">
        <v>-8000</v>
      </c>
      <c r="C118" s="30">
        <v>46149</v>
      </c>
      <c r="D118" s="3" t="s">
        <v>270</v>
      </c>
    </row>
    <row r="119" spans="1:4" x14ac:dyDescent="0.35">
      <c r="A119" s="3" t="s">
        <v>40</v>
      </c>
      <c r="B119" s="14">
        <v>-1300</v>
      </c>
      <c r="C119" s="30">
        <v>46149</v>
      </c>
      <c r="D119" s="42" t="s">
        <v>271</v>
      </c>
    </row>
    <row r="120" spans="1:4" x14ac:dyDescent="0.35">
      <c r="A120" s="3" t="s">
        <v>40</v>
      </c>
      <c r="B120" s="14">
        <v>-4000</v>
      </c>
      <c r="C120" s="30">
        <v>46163</v>
      </c>
      <c r="D120" s="3" t="s">
        <v>272</v>
      </c>
    </row>
    <row r="121" spans="1:4" x14ac:dyDescent="0.35">
      <c r="A121" s="3" t="s">
        <v>40</v>
      </c>
      <c r="B121" s="14">
        <v>10000</v>
      </c>
      <c r="C121" s="30">
        <v>46165</v>
      </c>
      <c r="D121" s="3" t="s">
        <v>244</v>
      </c>
    </row>
    <row r="122" spans="1:4" x14ac:dyDescent="0.35">
      <c r="A122" s="3" t="s">
        <v>59</v>
      </c>
      <c r="B122" s="14">
        <v>1000</v>
      </c>
      <c r="C122" s="30">
        <v>46177</v>
      </c>
      <c r="D122" s="3" t="s">
        <v>273</v>
      </c>
    </row>
    <row r="123" spans="1:4" x14ac:dyDescent="0.35">
      <c r="A123" s="3" t="s">
        <v>40</v>
      </c>
      <c r="B123" s="14">
        <v>-4000</v>
      </c>
      <c r="C123" s="30">
        <v>46178</v>
      </c>
      <c r="D123" s="3" t="s">
        <v>274</v>
      </c>
    </row>
    <row r="124" spans="1:4" x14ac:dyDescent="0.35">
      <c r="A124" s="3" t="s">
        <v>87</v>
      </c>
      <c r="B124" s="14">
        <v>5000</v>
      </c>
      <c r="C124" s="30">
        <v>46186</v>
      </c>
      <c r="D124" s="23" t="s">
        <v>275</v>
      </c>
    </row>
    <row r="125" spans="1:4" x14ac:dyDescent="0.35">
      <c r="A125" s="3" t="s">
        <v>87</v>
      </c>
      <c r="B125" s="14">
        <v>2800</v>
      </c>
      <c r="C125" s="30">
        <v>46186</v>
      </c>
      <c r="D125" s="23" t="s">
        <v>276</v>
      </c>
    </row>
    <row r="126" spans="1:4" x14ac:dyDescent="0.35">
      <c r="A126" s="3" t="s">
        <v>40</v>
      </c>
      <c r="B126" s="14">
        <v>-4000</v>
      </c>
      <c r="C126" s="30">
        <v>46191</v>
      </c>
      <c r="D126" s="3" t="s">
        <v>274</v>
      </c>
    </row>
    <row r="127" spans="1:4" x14ac:dyDescent="0.35">
      <c r="A127" s="3" t="s">
        <v>40</v>
      </c>
      <c r="B127" s="14">
        <v>-1300</v>
      </c>
      <c r="C127" s="30">
        <v>46191</v>
      </c>
      <c r="D127" s="23" t="s">
        <v>747</v>
      </c>
    </row>
    <row r="128" spans="1:4" x14ac:dyDescent="0.35">
      <c r="A128" s="3" t="s">
        <v>72</v>
      </c>
      <c r="B128" s="14">
        <v>-1000</v>
      </c>
      <c r="C128" s="30">
        <v>46191</v>
      </c>
      <c r="D128" s="3" t="s">
        <v>748</v>
      </c>
    </row>
    <row r="129" spans="3:3" x14ac:dyDescent="0.35">
      <c r="C129" s="30"/>
    </row>
    <row r="130" spans="3:3" x14ac:dyDescent="0.35">
      <c r="C130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41AD06-FE07-4F7D-B56E-18779303DD8C}">
          <x14:formula1>
            <xm:f>'Dropdown Expenses'!$A:$A</xm:f>
          </x14:formula1>
          <xm:sqref>A3:A1048576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E0A07-4E57-48D9-893E-9C7D31AFC2C6}">
  <sheetPr codeName="Sheet14"/>
  <dimension ref="A1:G24"/>
  <sheetViews>
    <sheetView zoomScale="151" workbookViewId="0">
      <selection activeCell="A2" sqref="A2"/>
    </sheetView>
  </sheetViews>
  <sheetFormatPr defaultColWidth="9.140625" defaultRowHeight="18" x14ac:dyDescent="0.35"/>
  <cols>
    <col min="1" max="1" width="11.28515625" style="3" customWidth="1"/>
    <col min="2" max="2" width="11.7109375" style="14" bestFit="1" customWidth="1"/>
    <col min="3" max="3" width="9.42578125" style="3" bestFit="1" customWidth="1"/>
    <col min="4" max="4" width="19.710937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45715</v>
      </c>
    </row>
    <row r="2" spans="1:7" x14ac:dyDescent="0.35">
      <c r="A2" s="3" t="s">
        <v>70</v>
      </c>
      <c r="B2" s="14">
        <v>2250</v>
      </c>
      <c r="C2" s="30"/>
    </row>
    <row r="3" spans="1:7" x14ac:dyDescent="0.35">
      <c r="A3" s="3" t="s">
        <v>89</v>
      </c>
      <c r="B3" s="14">
        <v>218</v>
      </c>
      <c r="C3" s="30"/>
    </row>
    <row r="4" spans="1:7" x14ac:dyDescent="0.35">
      <c r="A4" s="3" t="s">
        <v>8</v>
      </c>
      <c r="B4" s="14">
        <v>2785.92</v>
      </c>
      <c r="C4" s="30"/>
    </row>
    <row r="5" spans="1:7" x14ac:dyDescent="0.35">
      <c r="A5" s="3" t="s">
        <v>10</v>
      </c>
      <c r="B5" s="14">
        <v>322</v>
      </c>
      <c r="C5" s="30"/>
    </row>
    <row r="6" spans="1:7" x14ac:dyDescent="0.35">
      <c r="A6" s="3" t="s">
        <v>92</v>
      </c>
      <c r="B6" s="14">
        <v>1000</v>
      </c>
      <c r="C6" s="30"/>
    </row>
    <row r="7" spans="1:7" x14ac:dyDescent="0.35">
      <c r="A7" s="3" t="s">
        <v>10</v>
      </c>
      <c r="B7" s="14">
        <v>1083.75</v>
      </c>
      <c r="C7" s="30"/>
    </row>
    <row r="8" spans="1:7" x14ac:dyDescent="0.35">
      <c r="A8" s="3" t="s">
        <v>93</v>
      </c>
      <c r="B8" s="14">
        <v>15</v>
      </c>
      <c r="C8" s="30"/>
    </row>
    <row r="9" spans="1:7" x14ac:dyDescent="0.35">
      <c r="A9" s="3" t="s">
        <v>92</v>
      </c>
      <c r="B9" s="14">
        <v>1000</v>
      </c>
      <c r="C9" s="30"/>
    </row>
    <row r="10" spans="1:7" x14ac:dyDescent="0.35">
      <c r="A10" s="3" t="s">
        <v>87</v>
      </c>
      <c r="B10" s="14">
        <v>1000</v>
      </c>
      <c r="C10" s="30"/>
    </row>
    <row r="11" spans="1:7" x14ac:dyDescent="0.35">
      <c r="A11" s="3" t="s">
        <v>7</v>
      </c>
      <c r="B11" s="14">
        <v>-1000</v>
      </c>
      <c r="C11" s="30"/>
    </row>
    <row r="12" spans="1:7" x14ac:dyDescent="0.35">
      <c r="A12" s="3" t="s">
        <v>93</v>
      </c>
      <c r="B12" s="14">
        <v>5</v>
      </c>
      <c r="C12" s="30"/>
    </row>
    <row r="13" spans="1:7" x14ac:dyDescent="0.35">
      <c r="A13" s="3" t="s">
        <v>44</v>
      </c>
      <c r="B13" s="14">
        <v>225</v>
      </c>
      <c r="C13" s="30"/>
    </row>
    <row r="14" spans="1:7" x14ac:dyDescent="0.35">
      <c r="A14" s="3" t="s">
        <v>7</v>
      </c>
      <c r="B14" s="14">
        <v>-2100</v>
      </c>
      <c r="C14" s="30"/>
    </row>
    <row r="15" spans="1:7" x14ac:dyDescent="0.35">
      <c r="A15" s="3" t="s">
        <v>28</v>
      </c>
      <c r="B15" s="14">
        <v>150</v>
      </c>
      <c r="C15" s="30"/>
    </row>
    <row r="16" spans="1:7" x14ac:dyDescent="0.35">
      <c r="A16" s="3" t="s">
        <v>92</v>
      </c>
      <c r="B16" s="14">
        <v>1000</v>
      </c>
      <c r="C16" s="30"/>
    </row>
    <row r="17" spans="1:3" x14ac:dyDescent="0.35">
      <c r="A17" s="3" t="s">
        <v>0</v>
      </c>
      <c r="B17" s="14">
        <v>405</v>
      </c>
      <c r="C17" s="30"/>
    </row>
    <row r="18" spans="1:3" x14ac:dyDescent="0.35">
      <c r="A18" s="3" t="s">
        <v>15</v>
      </c>
      <c r="B18" s="14">
        <v>605</v>
      </c>
      <c r="C18" s="30"/>
    </row>
    <row r="19" spans="1:3" x14ac:dyDescent="0.35">
      <c r="A19" s="3" t="s">
        <v>90</v>
      </c>
      <c r="B19" s="14">
        <v>138</v>
      </c>
      <c r="C19" s="30"/>
    </row>
    <row r="20" spans="1:3" x14ac:dyDescent="0.35">
      <c r="A20" s="3" t="s">
        <v>92</v>
      </c>
      <c r="B20" s="14">
        <v>336.01</v>
      </c>
      <c r="C20" s="30"/>
    </row>
    <row r="21" spans="1:3" x14ac:dyDescent="0.35">
      <c r="A21" s="3" t="s">
        <v>72</v>
      </c>
      <c r="B21" s="14">
        <v>2000</v>
      </c>
      <c r="C21" s="30"/>
    </row>
    <row r="22" spans="1:3" x14ac:dyDescent="0.35">
      <c r="C22" s="30"/>
    </row>
    <row r="23" spans="1:3" x14ac:dyDescent="0.35">
      <c r="C23" s="30"/>
    </row>
    <row r="24" spans="1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E05265-44D5-4F69-92B8-905418E57D09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A4B8F-3674-4B11-BBF2-D7ED92B986C8}">
  <sheetPr codeName="Sheet8"/>
  <dimension ref="A1:G24"/>
  <sheetViews>
    <sheetView zoomScale="151" workbookViewId="0">
      <selection activeCell="G9" sqref="G9"/>
    </sheetView>
  </sheetViews>
  <sheetFormatPr defaultColWidth="9.140625" defaultRowHeight="18" x14ac:dyDescent="0.35"/>
  <cols>
    <col min="1" max="1" width="15.7109375" style="3" bestFit="1" customWidth="1"/>
    <col min="2" max="2" width="12.85546875" style="14" bestFit="1" customWidth="1"/>
    <col min="3" max="3" width="7.7109375" style="3" bestFit="1" customWidth="1"/>
    <col min="4" max="4" width="12.1406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45729</v>
      </c>
    </row>
    <row r="2" spans="1:7" x14ac:dyDescent="0.35">
      <c r="A2" s="3" t="s">
        <v>92</v>
      </c>
      <c r="B2" s="14">
        <v>663.99</v>
      </c>
      <c r="C2" s="30"/>
    </row>
    <row r="3" spans="1:7" x14ac:dyDescent="0.35">
      <c r="A3" s="3" t="s">
        <v>93</v>
      </c>
      <c r="B3" s="14">
        <v>18</v>
      </c>
      <c r="C3" s="30"/>
    </row>
    <row r="4" spans="1:7" x14ac:dyDescent="0.35">
      <c r="A4" s="3" t="s">
        <v>76</v>
      </c>
      <c r="B4" s="14">
        <v>201.99</v>
      </c>
      <c r="C4" s="30"/>
    </row>
    <row r="5" spans="1:7" x14ac:dyDescent="0.35">
      <c r="A5" s="3" t="s">
        <v>11</v>
      </c>
      <c r="B5" s="14">
        <v>1000</v>
      </c>
      <c r="C5" s="30"/>
    </row>
    <row r="6" spans="1:7" x14ac:dyDescent="0.35">
      <c r="A6" s="3" t="s">
        <v>70</v>
      </c>
      <c r="B6" s="14">
        <v>2250</v>
      </c>
      <c r="C6" s="30"/>
    </row>
    <row r="7" spans="1:7" x14ac:dyDescent="0.35">
      <c r="A7" s="3" t="s">
        <v>93</v>
      </c>
      <c r="B7" s="14">
        <v>5</v>
      </c>
      <c r="C7" s="30"/>
    </row>
    <row r="8" spans="1:7" x14ac:dyDescent="0.35">
      <c r="A8" s="3" t="s">
        <v>11</v>
      </c>
      <c r="B8" s="14">
        <v>1000</v>
      </c>
      <c r="C8" s="30"/>
    </row>
    <row r="9" spans="1:7" x14ac:dyDescent="0.35">
      <c r="A9" s="3" t="s">
        <v>11</v>
      </c>
      <c r="B9" s="14">
        <v>1000</v>
      </c>
      <c r="C9" s="30"/>
    </row>
    <row r="10" spans="1:7" x14ac:dyDescent="0.35">
      <c r="A10" s="3" t="s">
        <v>11</v>
      </c>
      <c r="B10" s="14">
        <v>500</v>
      </c>
      <c r="C10" s="30"/>
    </row>
    <row r="11" spans="1:7" x14ac:dyDescent="0.35">
      <c r="A11" s="3" t="s">
        <v>8</v>
      </c>
      <c r="B11" s="14">
        <v>1074.08</v>
      </c>
      <c r="C11" s="30"/>
    </row>
    <row r="12" spans="1:7" x14ac:dyDescent="0.35">
      <c r="A12" s="3" t="s">
        <v>72</v>
      </c>
      <c r="B12" s="14">
        <v>2105</v>
      </c>
      <c r="C12" s="30"/>
    </row>
    <row r="13" spans="1:7" x14ac:dyDescent="0.35">
      <c r="A13" s="3" t="s">
        <v>13</v>
      </c>
      <c r="B13" s="14">
        <v>239.31</v>
      </c>
      <c r="C13" s="30"/>
    </row>
    <row r="14" spans="1:7" x14ac:dyDescent="0.35">
      <c r="C14" s="30"/>
    </row>
    <row r="15" spans="1:7" x14ac:dyDescent="0.35">
      <c r="C15" s="30"/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8549AA-FE9A-45D0-9B54-7B571AD2823A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2927B-C565-4E7B-964C-0B9738046346}">
  <sheetPr codeName="Sheet15"/>
  <dimension ref="A1:G24"/>
  <sheetViews>
    <sheetView zoomScale="151" workbookViewId="0">
      <selection activeCell="H12" sqref="H12"/>
    </sheetView>
  </sheetViews>
  <sheetFormatPr defaultColWidth="9.140625" defaultRowHeight="18" x14ac:dyDescent="0.35"/>
  <cols>
    <col min="1" max="1" width="13" style="3" customWidth="1"/>
    <col min="2" max="2" width="13" style="14" customWidth="1"/>
    <col min="3" max="3" width="10.7109375" style="3" bestFit="1" customWidth="1"/>
    <col min="4" max="4" width="19.710937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45757</v>
      </c>
    </row>
    <row r="2" spans="1:7" x14ac:dyDescent="0.35">
      <c r="A2" s="3" t="s">
        <v>87</v>
      </c>
      <c r="B2" s="14">
        <v>905</v>
      </c>
      <c r="C2" s="30">
        <v>45757</v>
      </c>
    </row>
    <row r="3" spans="1:7" x14ac:dyDescent="0.35">
      <c r="A3" s="3" t="s">
        <v>8</v>
      </c>
      <c r="B3" s="14">
        <v>497.91</v>
      </c>
      <c r="C3" s="30">
        <v>45757</v>
      </c>
    </row>
    <row r="4" spans="1:7" x14ac:dyDescent="0.35">
      <c r="A4" s="3" t="s">
        <v>84</v>
      </c>
      <c r="B4" s="14">
        <v>102.09</v>
      </c>
      <c r="C4" s="30">
        <v>45757</v>
      </c>
    </row>
    <row r="5" spans="1:7" x14ac:dyDescent="0.35">
      <c r="A5" s="3" t="s">
        <v>13</v>
      </c>
      <c r="B5" s="14">
        <v>-483.64</v>
      </c>
      <c r="C5" s="30">
        <v>45757</v>
      </c>
    </row>
    <row r="6" spans="1:7" x14ac:dyDescent="0.35">
      <c r="A6" s="3" t="s">
        <v>11</v>
      </c>
      <c r="B6" s="14">
        <v>1000</v>
      </c>
      <c r="C6" s="30">
        <v>45757</v>
      </c>
    </row>
    <row r="7" spans="1:7" x14ac:dyDescent="0.35">
      <c r="A7" s="3" t="s">
        <v>88</v>
      </c>
      <c r="B7" s="14">
        <v>750</v>
      </c>
      <c r="C7" s="30">
        <v>45757</v>
      </c>
    </row>
    <row r="8" spans="1:7" x14ac:dyDescent="0.35">
      <c r="A8" s="3" t="s">
        <v>11</v>
      </c>
      <c r="B8" s="14">
        <v>1250</v>
      </c>
      <c r="C8" s="30">
        <v>45758</v>
      </c>
    </row>
    <row r="9" spans="1:7" x14ac:dyDescent="0.35">
      <c r="A9" s="3" t="s">
        <v>70</v>
      </c>
      <c r="B9" s="14">
        <v>2250</v>
      </c>
      <c r="C9" s="30">
        <v>45758</v>
      </c>
    </row>
    <row r="10" spans="1:7" x14ac:dyDescent="0.35">
      <c r="A10" s="3" t="s">
        <v>76</v>
      </c>
      <c r="B10" s="14">
        <v>201.99</v>
      </c>
      <c r="C10" s="30">
        <v>45758</v>
      </c>
    </row>
    <row r="11" spans="1:7" x14ac:dyDescent="0.35">
      <c r="A11" s="3" t="s">
        <v>50</v>
      </c>
      <c r="B11" s="14">
        <v>105</v>
      </c>
      <c r="C11" s="30">
        <v>45761</v>
      </c>
    </row>
    <row r="12" spans="1:7" x14ac:dyDescent="0.35">
      <c r="A12" s="3" t="s">
        <v>93</v>
      </c>
      <c r="B12" s="14">
        <v>18</v>
      </c>
      <c r="C12" s="30">
        <v>45761</v>
      </c>
    </row>
    <row r="13" spans="1:7" x14ac:dyDescent="0.35">
      <c r="A13" s="3" t="s">
        <v>92</v>
      </c>
      <c r="B13" s="14">
        <v>1000</v>
      </c>
      <c r="C13" s="30">
        <v>45765</v>
      </c>
    </row>
    <row r="14" spans="1:7" x14ac:dyDescent="0.35">
      <c r="A14" s="3" t="s">
        <v>50</v>
      </c>
      <c r="B14" s="14">
        <v>110</v>
      </c>
      <c r="C14" s="30">
        <v>45768</v>
      </c>
    </row>
    <row r="15" spans="1:7" x14ac:dyDescent="0.35">
      <c r="A15" s="3" t="s">
        <v>17</v>
      </c>
      <c r="B15" s="14">
        <v>230</v>
      </c>
      <c r="C15" s="30">
        <v>45768</v>
      </c>
    </row>
    <row r="16" spans="1:7" x14ac:dyDescent="0.35">
      <c r="A16" s="3" t="s">
        <v>13</v>
      </c>
      <c r="B16" s="14">
        <v>-666.39</v>
      </c>
      <c r="C16" s="30">
        <v>45771</v>
      </c>
    </row>
    <row r="17" spans="1:3" x14ac:dyDescent="0.35">
      <c r="A17" s="3" t="s">
        <v>72</v>
      </c>
      <c r="B17" s="14">
        <v>1005</v>
      </c>
      <c r="C17" s="30">
        <v>45771</v>
      </c>
    </row>
    <row r="18" spans="1:3" x14ac:dyDescent="0.35">
      <c r="A18" s="3" t="s">
        <v>13</v>
      </c>
      <c r="B18" s="14">
        <v>787.5</v>
      </c>
      <c r="C18" s="30">
        <v>45771</v>
      </c>
    </row>
    <row r="19" spans="1:3" x14ac:dyDescent="0.35">
      <c r="C19" s="30"/>
    </row>
    <row r="20" spans="1:3" x14ac:dyDescent="0.35">
      <c r="C20" s="30"/>
    </row>
    <row r="21" spans="1:3" x14ac:dyDescent="0.35">
      <c r="C21" s="30"/>
    </row>
    <row r="22" spans="1:3" x14ac:dyDescent="0.35">
      <c r="C22" s="30"/>
    </row>
    <row r="23" spans="1:3" x14ac:dyDescent="0.35">
      <c r="C23" s="30"/>
    </row>
    <row r="24" spans="1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A491E5-D409-4BCC-A366-D2C3AF1FB9B0}">
          <x14:formula1>
            <xm:f>'Dropdown Expenses'!$A:$A</xm:f>
          </x14:formula1>
          <xm:sqref>A19:A1048576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39D9D-3422-4B9E-8BDB-CBA92AE86174}">
  <sheetPr codeName="Sheet16"/>
  <dimension ref="A1:G24"/>
  <sheetViews>
    <sheetView zoomScale="151" workbookViewId="0">
      <selection activeCell="E6" sqref="E6"/>
    </sheetView>
  </sheetViews>
  <sheetFormatPr defaultColWidth="9.140625" defaultRowHeight="18" x14ac:dyDescent="0.35"/>
  <cols>
    <col min="1" max="1" width="15.7109375" style="3" bestFit="1" customWidth="1"/>
    <col min="2" max="2" width="12.85546875" style="14" bestFit="1" customWidth="1"/>
    <col min="3" max="3" width="10.7109375" style="3" bestFit="1" customWidth="1"/>
    <col min="4" max="4" width="19.710937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45771</v>
      </c>
    </row>
    <row r="2" spans="1:7" x14ac:dyDescent="0.35">
      <c r="A2" s="3" t="s">
        <v>92</v>
      </c>
      <c r="B2" s="14">
        <v>1005</v>
      </c>
      <c r="C2" s="30">
        <v>45770</v>
      </c>
    </row>
    <row r="3" spans="1:7" x14ac:dyDescent="0.35">
      <c r="A3" s="3" t="s">
        <v>13</v>
      </c>
      <c r="B3" s="14">
        <v>-787.5</v>
      </c>
      <c r="C3" s="30">
        <v>45771</v>
      </c>
    </row>
    <row r="4" spans="1:7" x14ac:dyDescent="0.35">
      <c r="A4" s="3" t="s">
        <v>70</v>
      </c>
      <c r="B4" s="14">
        <v>2250</v>
      </c>
      <c r="C4" s="30">
        <v>45771</v>
      </c>
    </row>
    <row r="5" spans="1:7" x14ac:dyDescent="0.35">
      <c r="A5" s="3" t="s">
        <v>89</v>
      </c>
      <c r="B5" s="14">
        <v>218</v>
      </c>
      <c r="C5" s="30">
        <v>45771</v>
      </c>
    </row>
    <row r="6" spans="1:7" x14ac:dyDescent="0.35">
      <c r="A6" s="3" t="s">
        <v>51</v>
      </c>
      <c r="B6" s="14">
        <v>399</v>
      </c>
      <c r="C6" s="30">
        <v>45771</v>
      </c>
    </row>
    <row r="7" spans="1:7" x14ac:dyDescent="0.35">
      <c r="A7" s="3" t="s">
        <v>8</v>
      </c>
      <c r="B7" s="14">
        <v>2468.17</v>
      </c>
      <c r="C7" s="30">
        <v>45771</v>
      </c>
    </row>
    <row r="8" spans="1:7" x14ac:dyDescent="0.35">
      <c r="A8" s="3" t="s">
        <v>85</v>
      </c>
      <c r="B8" s="14">
        <v>5</v>
      </c>
      <c r="C8" s="30">
        <v>45771</v>
      </c>
    </row>
    <row r="9" spans="1:7" x14ac:dyDescent="0.35">
      <c r="A9" s="3" t="s">
        <v>30</v>
      </c>
      <c r="B9" s="14">
        <v>225</v>
      </c>
      <c r="C9" s="30">
        <v>45771</v>
      </c>
    </row>
    <row r="10" spans="1:7" x14ac:dyDescent="0.35">
      <c r="A10" s="3" t="s">
        <v>87</v>
      </c>
      <c r="B10" s="14">
        <v>1005</v>
      </c>
      <c r="C10" s="30">
        <v>45772</v>
      </c>
    </row>
    <row r="11" spans="1:7" x14ac:dyDescent="0.35">
      <c r="A11" s="3" t="s">
        <v>10</v>
      </c>
      <c r="B11" s="14">
        <v>1083.25</v>
      </c>
      <c r="C11" s="30">
        <v>45772</v>
      </c>
    </row>
    <row r="12" spans="1:7" x14ac:dyDescent="0.35">
      <c r="A12" s="3" t="s">
        <v>59</v>
      </c>
      <c r="B12" s="14">
        <v>-2600</v>
      </c>
      <c r="C12" s="30">
        <v>45772</v>
      </c>
    </row>
    <row r="13" spans="1:7" x14ac:dyDescent="0.35">
      <c r="A13" s="3" t="s">
        <v>84</v>
      </c>
      <c r="B13" s="14">
        <v>786</v>
      </c>
      <c r="C13" s="30">
        <v>45773</v>
      </c>
    </row>
    <row r="14" spans="1:7" x14ac:dyDescent="0.35">
      <c r="A14" s="3" t="s">
        <v>11</v>
      </c>
      <c r="B14" s="14">
        <v>1000</v>
      </c>
      <c r="C14" s="30">
        <v>45773</v>
      </c>
    </row>
    <row r="15" spans="1:7" x14ac:dyDescent="0.35">
      <c r="A15" s="3" t="s">
        <v>87</v>
      </c>
      <c r="B15" s="14">
        <v>3005</v>
      </c>
      <c r="C15" s="30">
        <v>45774</v>
      </c>
    </row>
    <row r="16" spans="1:7" x14ac:dyDescent="0.35">
      <c r="A16" s="3" t="s">
        <v>11</v>
      </c>
      <c r="B16" s="14">
        <v>350</v>
      </c>
      <c r="C16" s="30">
        <v>45776</v>
      </c>
    </row>
    <row r="17" spans="1:3" x14ac:dyDescent="0.35">
      <c r="A17" s="3" t="s">
        <v>7</v>
      </c>
      <c r="B17" s="14">
        <v>-4000</v>
      </c>
      <c r="C17" s="30">
        <v>45778</v>
      </c>
    </row>
    <row r="18" spans="1:3" x14ac:dyDescent="0.35">
      <c r="A18" s="3" t="s">
        <v>3</v>
      </c>
      <c r="B18" s="14">
        <v>400</v>
      </c>
      <c r="C18" s="30">
        <v>45778</v>
      </c>
    </row>
    <row r="19" spans="1:3" x14ac:dyDescent="0.35">
      <c r="A19" s="3" t="s">
        <v>7</v>
      </c>
      <c r="B19" s="14">
        <v>1000</v>
      </c>
      <c r="C19" s="30">
        <v>45778</v>
      </c>
    </row>
    <row r="20" spans="1:3" x14ac:dyDescent="0.35">
      <c r="A20" s="3" t="s">
        <v>72</v>
      </c>
      <c r="B20" s="14">
        <v>2000</v>
      </c>
      <c r="C20" s="30">
        <v>45778</v>
      </c>
    </row>
    <row r="21" spans="1:3" x14ac:dyDescent="0.35">
      <c r="A21" s="3" t="s">
        <v>11</v>
      </c>
      <c r="B21" s="14">
        <v>600</v>
      </c>
      <c r="C21" s="30">
        <v>45778</v>
      </c>
    </row>
    <row r="22" spans="1:3" x14ac:dyDescent="0.35">
      <c r="A22" s="3" t="s">
        <v>13</v>
      </c>
      <c r="B22" s="14">
        <v>0.28999999999999998</v>
      </c>
      <c r="C22" s="30">
        <v>45785</v>
      </c>
    </row>
    <row r="23" spans="1:3" x14ac:dyDescent="0.35">
      <c r="C23" s="30"/>
    </row>
    <row r="24" spans="1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ECF3A0-35F8-4EF3-8070-E45660F92ADB}">
          <x14:formula1>
            <xm:f>'Dropdown Expenses'!$A:$A</xm:f>
          </x14:formula1>
          <xm:sqref>A23:A1048576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9C37E-18FD-4786-8840-800B84296CB0}">
  <sheetPr codeName="Sheet17"/>
  <dimension ref="A1:G24"/>
  <sheetViews>
    <sheetView zoomScale="151" workbookViewId="0">
      <selection activeCell="F8" sqref="F8"/>
    </sheetView>
  </sheetViews>
  <sheetFormatPr defaultColWidth="9.140625" defaultRowHeight="18" x14ac:dyDescent="0.35"/>
  <cols>
    <col min="1" max="1" width="15.7109375" style="3" bestFit="1" customWidth="1"/>
    <col min="2" max="2" width="12.85546875" style="14" bestFit="1" customWidth="1"/>
    <col min="3" max="3" width="11.85546875" style="3" bestFit="1" customWidth="1"/>
    <col min="4" max="4" width="28.285156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45785</v>
      </c>
    </row>
    <row r="2" spans="1:7" x14ac:dyDescent="0.35">
      <c r="A2" s="3" t="s">
        <v>13</v>
      </c>
      <c r="B2" s="14">
        <v>-0.28999999999999998</v>
      </c>
      <c r="C2" s="30">
        <v>45785</v>
      </c>
      <c r="D2" s="3" t="s">
        <v>277</v>
      </c>
    </row>
    <row r="3" spans="1:7" x14ac:dyDescent="0.35">
      <c r="A3" s="3" t="s">
        <v>70</v>
      </c>
      <c r="B3" s="14">
        <v>2250</v>
      </c>
      <c r="C3" s="30">
        <v>45785</v>
      </c>
    </row>
    <row r="4" spans="1:7" x14ac:dyDescent="0.35">
      <c r="A4" s="3" t="s">
        <v>28</v>
      </c>
      <c r="B4" s="14">
        <v>295</v>
      </c>
      <c r="C4" s="30">
        <v>45785</v>
      </c>
    </row>
    <row r="5" spans="1:7" x14ac:dyDescent="0.35">
      <c r="A5" s="3" t="s">
        <v>10</v>
      </c>
      <c r="B5" s="14">
        <v>137</v>
      </c>
      <c r="C5" s="30">
        <v>45785</v>
      </c>
    </row>
    <row r="6" spans="1:7" x14ac:dyDescent="0.35">
      <c r="A6" s="3" t="s">
        <v>8</v>
      </c>
      <c r="B6" s="14">
        <v>6488.05</v>
      </c>
      <c r="C6" s="30">
        <v>45785</v>
      </c>
    </row>
    <row r="7" spans="1:7" x14ac:dyDescent="0.35">
      <c r="A7" s="3" t="s">
        <v>15</v>
      </c>
      <c r="B7" s="14">
        <v>600</v>
      </c>
      <c r="C7" s="30">
        <v>45785</v>
      </c>
      <c r="D7" s="3" t="s">
        <v>278</v>
      </c>
    </row>
    <row r="8" spans="1:7" x14ac:dyDescent="0.35">
      <c r="A8" s="3" t="s">
        <v>28</v>
      </c>
      <c r="B8" s="14">
        <v>505</v>
      </c>
      <c r="C8" s="30">
        <v>45785</v>
      </c>
      <c r="D8" s="3" t="s">
        <v>279</v>
      </c>
    </row>
    <row r="9" spans="1:7" x14ac:dyDescent="0.35">
      <c r="A9" s="3" t="s">
        <v>88</v>
      </c>
      <c r="B9" s="14">
        <v>500</v>
      </c>
      <c r="C9" s="30">
        <v>45785</v>
      </c>
      <c r="D9" s="3" t="s">
        <v>280</v>
      </c>
    </row>
    <row r="10" spans="1:7" x14ac:dyDescent="0.35">
      <c r="A10" s="3" t="s">
        <v>11</v>
      </c>
      <c r="B10" s="14">
        <v>1000</v>
      </c>
      <c r="C10" s="30">
        <v>45785</v>
      </c>
    </row>
    <row r="11" spans="1:7" x14ac:dyDescent="0.35">
      <c r="A11" s="3" t="s">
        <v>85</v>
      </c>
      <c r="B11" s="14">
        <v>20</v>
      </c>
      <c r="C11" s="30">
        <v>45785</v>
      </c>
    </row>
    <row r="12" spans="1:7" x14ac:dyDescent="0.35">
      <c r="A12" s="3" t="s">
        <v>50</v>
      </c>
      <c r="B12" s="14">
        <v>102</v>
      </c>
      <c r="C12" s="30">
        <v>45785</v>
      </c>
    </row>
    <row r="13" spans="1:7" x14ac:dyDescent="0.35">
      <c r="A13" s="3" t="s">
        <v>76</v>
      </c>
      <c r="B13" s="14">
        <v>199</v>
      </c>
      <c r="C13" s="30">
        <v>45789</v>
      </c>
      <c r="D13" s="3" t="s">
        <v>281</v>
      </c>
    </row>
    <row r="14" spans="1:7" x14ac:dyDescent="0.35">
      <c r="A14" s="3" t="s">
        <v>84</v>
      </c>
      <c r="B14" s="14">
        <v>1000</v>
      </c>
      <c r="C14" s="30">
        <v>45791</v>
      </c>
      <c r="D14" s="3" t="s">
        <v>282</v>
      </c>
    </row>
    <row r="15" spans="1:7" x14ac:dyDescent="0.35">
      <c r="A15" s="3" t="s">
        <v>85</v>
      </c>
      <c r="B15" s="14">
        <v>5</v>
      </c>
      <c r="C15" s="30">
        <v>45791</v>
      </c>
    </row>
    <row r="16" spans="1:7" x14ac:dyDescent="0.35">
      <c r="A16" s="3" t="s">
        <v>11</v>
      </c>
      <c r="B16" s="14">
        <v>1000</v>
      </c>
      <c r="C16" s="30">
        <v>45794</v>
      </c>
      <c r="D16" s="3" t="s">
        <v>283</v>
      </c>
    </row>
    <row r="17" spans="1:4" x14ac:dyDescent="0.35">
      <c r="A17" s="3" t="s">
        <v>11</v>
      </c>
      <c r="B17" s="14">
        <v>1000</v>
      </c>
      <c r="C17" s="30">
        <v>45796</v>
      </c>
      <c r="D17" s="3" t="s">
        <v>284</v>
      </c>
    </row>
    <row r="18" spans="1:4" x14ac:dyDescent="0.35">
      <c r="A18" s="3" t="s">
        <v>72</v>
      </c>
      <c r="B18" s="14">
        <v>2000</v>
      </c>
      <c r="C18" s="30">
        <v>45798</v>
      </c>
      <c r="D18" s="3" t="s">
        <v>72</v>
      </c>
    </row>
    <row r="19" spans="1:4" x14ac:dyDescent="0.35">
      <c r="A19" s="3" t="s">
        <v>85</v>
      </c>
      <c r="B19" s="14">
        <v>5</v>
      </c>
      <c r="C19" s="30">
        <v>45798</v>
      </c>
      <c r="D19" s="3" t="s">
        <v>285</v>
      </c>
    </row>
    <row r="20" spans="1:4" x14ac:dyDescent="0.35">
      <c r="A20" s="3" t="s">
        <v>13</v>
      </c>
      <c r="B20" s="14">
        <v>70.510000000000005</v>
      </c>
      <c r="C20" s="30">
        <v>45798</v>
      </c>
    </row>
    <row r="21" spans="1:4" x14ac:dyDescent="0.35">
      <c r="C21" s="30"/>
    </row>
    <row r="22" spans="1:4" x14ac:dyDescent="0.35">
      <c r="C22" s="30"/>
    </row>
    <row r="23" spans="1:4" x14ac:dyDescent="0.35">
      <c r="C23" s="30"/>
    </row>
    <row r="24" spans="1:4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6C2F09-1B14-4F17-9B0A-1D8501DF2EC9}">
          <x14:formula1>
            <xm:f>'Dropdown Expenses'!$A:$A</xm:f>
          </x14:formula1>
          <xm:sqref>A21:A1048576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E6EEC-6EC7-4886-B030-2B2C82B0821A}">
  <sheetPr codeName="Sheet18"/>
  <dimension ref="A1:G25"/>
  <sheetViews>
    <sheetView zoomScale="151" workbookViewId="0">
      <selection activeCell="G10" sqref="G10"/>
    </sheetView>
  </sheetViews>
  <sheetFormatPr defaultColWidth="9.140625" defaultRowHeight="18" x14ac:dyDescent="0.35"/>
  <cols>
    <col min="1" max="1" width="17.5703125" style="3" bestFit="1" customWidth="1"/>
    <col min="2" max="2" width="12.85546875" style="14" bestFit="1" customWidth="1"/>
    <col min="3" max="3" width="11.85546875" style="3" bestFit="1" customWidth="1"/>
    <col min="4" max="4" width="30.425781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45799</v>
      </c>
    </row>
    <row r="2" spans="1:7" x14ac:dyDescent="0.35">
      <c r="A2" s="3" t="s">
        <v>13</v>
      </c>
      <c r="B2" s="14">
        <v>-70.510000000000005</v>
      </c>
      <c r="C2" s="30">
        <v>45799</v>
      </c>
      <c r="D2" s="3" t="s">
        <v>277</v>
      </c>
    </row>
    <row r="3" spans="1:7" x14ac:dyDescent="0.35">
      <c r="A3" s="3" t="s">
        <v>10</v>
      </c>
      <c r="B3" s="14">
        <v>2269.25</v>
      </c>
      <c r="C3" s="30">
        <v>45799</v>
      </c>
      <c r="D3" s="3" t="s">
        <v>286</v>
      </c>
    </row>
    <row r="4" spans="1:7" x14ac:dyDescent="0.35">
      <c r="A4" s="3" t="s">
        <v>8</v>
      </c>
      <c r="B4" s="14">
        <v>1785.92</v>
      </c>
      <c r="C4" s="30">
        <v>45799</v>
      </c>
      <c r="D4" s="3" t="s">
        <v>287</v>
      </c>
    </row>
    <row r="5" spans="1:7" x14ac:dyDescent="0.35">
      <c r="A5" s="3" t="s">
        <v>85</v>
      </c>
      <c r="B5" s="14">
        <v>5</v>
      </c>
      <c r="C5" s="30">
        <v>45799</v>
      </c>
      <c r="D5" s="3" t="s">
        <v>288</v>
      </c>
    </row>
    <row r="6" spans="1:7" x14ac:dyDescent="0.35">
      <c r="A6" s="3" t="s">
        <v>65</v>
      </c>
      <c r="B6" s="14">
        <v>599.44000000000005</v>
      </c>
      <c r="C6" s="30">
        <v>45799</v>
      </c>
      <c r="D6" s="3" t="s">
        <v>289</v>
      </c>
    </row>
    <row r="7" spans="1:7" x14ac:dyDescent="0.35">
      <c r="A7" s="3" t="s">
        <v>79</v>
      </c>
      <c r="B7" s="14">
        <v>5.99</v>
      </c>
      <c r="C7" s="30">
        <v>45799</v>
      </c>
      <c r="D7" s="3" t="s">
        <v>290</v>
      </c>
    </row>
    <row r="8" spans="1:7" x14ac:dyDescent="0.35">
      <c r="A8" s="3" t="s">
        <v>59</v>
      </c>
      <c r="B8" s="14">
        <v>-5.99</v>
      </c>
      <c r="C8" s="30">
        <v>45799</v>
      </c>
      <c r="D8" s="3" t="s">
        <v>291</v>
      </c>
    </row>
    <row r="9" spans="1:7" x14ac:dyDescent="0.35">
      <c r="A9" s="3" t="s">
        <v>87</v>
      </c>
      <c r="B9" s="14">
        <v>1000</v>
      </c>
      <c r="C9" s="30">
        <v>45799</v>
      </c>
      <c r="D9" s="3" t="s">
        <v>292</v>
      </c>
    </row>
    <row r="10" spans="1:7" x14ac:dyDescent="0.35">
      <c r="A10" s="3" t="s">
        <v>59</v>
      </c>
      <c r="B10" s="14">
        <v>-1047.8399999999999</v>
      </c>
      <c r="C10" s="30">
        <v>45799</v>
      </c>
      <c r="D10" s="3" t="s">
        <v>293</v>
      </c>
    </row>
    <row r="11" spans="1:7" x14ac:dyDescent="0.35">
      <c r="A11" s="3" t="s">
        <v>70</v>
      </c>
      <c r="B11" s="14">
        <v>2250</v>
      </c>
      <c r="C11" s="30">
        <v>45799</v>
      </c>
      <c r="D11" s="3" t="s">
        <v>294</v>
      </c>
    </row>
    <row r="12" spans="1:7" x14ac:dyDescent="0.35">
      <c r="A12" s="3" t="s">
        <v>89</v>
      </c>
      <c r="B12" s="14">
        <v>218</v>
      </c>
      <c r="C12" s="30">
        <v>45799</v>
      </c>
      <c r="D12" s="3" t="s">
        <v>295</v>
      </c>
    </row>
    <row r="13" spans="1:7" x14ac:dyDescent="0.35">
      <c r="A13" s="3" t="s">
        <v>3</v>
      </c>
      <c r="B13" s="14">
        <v>185</v>
      </c>
      <c r="C13" s="30">
        <v>45799</v>
      </c>
      <c r="D13" s="3" t="s">
        <v>296</v>
      </c>
    </row>
    <row r="14" spans="1:7" x14ac:dyDescent="0.35">
      <c r="A14" s="3" t="s">
        <v>21</v>
      </c>
      <c r="B14" s="14">
        <v>-0.47</v>
      </c>
      <c r="C14" s="30">
        <v>45799</v>
      </c>
      <c r="D14" s="3" t="s">
        <v>297</v>
      </c>
    </row>
    <row r="15" spans="1:7" x14ac:dyDescent="0.35">
      <c r="A15" s="3" t="s">
        <v>84</v>
      </c>
      <c r="B15" s="14">
        <v>505</v>
      </c>
      <c r="C15" s="30">
        <v>45802</v>
      </c>
      <c r="D15" s="3" t="s">
        <v>298</v>
      </c>
    </row>
    <row r="16" spans="1:7" x14ac:dyDescent="0.35">
      <c r="A16" s="3" t="s">
        <v>59</v>
      </c>
      <c r="B16" s="14">
        <v>-4577</v>
      </c>
      <c r="C16" s="30">
        <v>45803</v>
      </c>
      <c r="D16" s="3" t="s">
        <v>299</v>
      </c>
    </row>
    <row r="17" spans="1:4" x14ac:dyDescent="0.35">
      <c r="A17" s="3" t="s">
        <v>92</v>
      </c>
      <c r="B17" s="14">
        <v>5000</v>
      </c>
      <c r="C17" s="30">
        <v>45799</v>
      </c>
      <c r="D17" s="3" t="s">
        <v>300</v>
      </c>
    </row>
    <row r="18" spans="1:4" x14ac:dyDescent="0.35">
      <c r="A18" s="3" t="s">
        <v>8</v>
      </c>
      <c r="B18" s="14">
        <v>4138.67</v>
      </c>
      <c r="C18" s="30">
        <v>45803</v>
      </c>
      <c r="D18" s="3" t="s">
        <v>301</v>
      </c>
    </row>
    <row r="19" spans="1:4" x14ac:dyDescent="0.35">
      <c r="A19" s="3" t="s">
        <v>85</v>
      </c>
      <c r="B19" s="14">
        <v>5</v>
      </c>
      <c r="C19" s="30">
        <v>45803</v>
      </c>
      <c r="D19" s="3" t="s">
        <v>288</v>
      </c>
    </row>
    <row r="20" spans="1:4" x14ac:dyDescent="0.35">
      <c r="A20" s="3" t="s">
        <v>92</v>
      </c>
      <c r="B20" s="14">
        <v>1000</v>
      </c>
      <c r="C20" s="30">
        <v>45803</v>
      </c>
      <c r="D20" s="3" t="s">
        <v>283</v>
      </c>
    </row>
    <row r="21" spans="1:4" x14ac:dyDescent="0.35">
      <c r="A21" s="3" t="s">
        <v>93</v>
      </c>
      <c r="B21" s="14">
        <v>18</v>
      </c>
      <c r="C21" s="30">
        <v>45803</v>
      </c>
      <c r="D21" s="3" t="s">
        <v>302</v>
      </c>
    </row>
    <row r="22" spans="1:4" x14ac:dyDescent="0.35">
      <c r="A22" s="3" t="s">
        <v>84</v>
      </c>
      <c r="B22" s="14">
        <v>300</v>
      </c>
      <c r="C22" s="30">
        <v>45805</v>
      </c>
      <c r="D22" s="3" t="s">
        <v>303</v>
      </c>
    </row>
    <row r="23" spans="1:4" x14ac:dyDescent="0.35">
      <c r="A23" s="3" t="s">
        <v>85</v>
      </c>
      <c r="B23" s="14">
        <v>5</v>
      </c>
      <c r="C23" s="30">
        <v>45805</v>
      </c>
      <c r="D23" s="3" t="s">
        <v>304</v>
      </c>
    </row>
    <row r="24" spans="1:4" x14ac:dyDescent="0.35">
      <c r="A24" s="3" t="s">
        <v>92</v>
      </c>
      <c r="B24" s="14">
        <v>1000</v>
      </c>
      <c r="C24" s="30">
        <v>45807</v>
      </c>
      <c r="D24" s="3" t="s">
        <v>283</v>
      </c>
    </row>
    <row r="25" spans="1:4" x14ac:dyDescent="0.35">
      <c r="A25" s="3" t="s">
        <v>13</v>
      </c>
      <c r="B25" s="14">
        <v>83.21</v>
      </c>
      <c r="C25" s="30">
        <v>45813</v>
      </c>
      <c r="D25" s="3" t="s">
        <v>305</v>
      </c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3544B1-7723-4F3C-8825-B39600F6C398}">
          <x14:formula1>
            <xm:f>'Dropdown Expenses'!$A:$A</xm:f>
          </x14:formula1>
          <xm:sqref>A26:A1048576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EE05F-C60F-4AE6-8895-F450308B2C1E}">
  <sheetPr codeName="Sheet19"/>
  <dimension ref="A1:G24"/>
  <sheetViews>
    <sheetView zoomScale="236" workbookViewId="0">
      <selection activeCell="B7" sqref="B7:D7"/>
    </sheetView>
  </sheetViews>
  <sheetFormatPr defaultColWidth="9.140625" defaultRowHeight="18" x14ac:dyDescent="0.35"/>
  <cols>
    <col min="1" max="1" width="15.7109375" style="3" bestFit="1" customWidth="1"/>
    <col min="2" max="2" width="12.85546875" style="14" bestFit="1" customWidth="1"/>
    <col min="3" max="3" width="11.85546875" style="3" bestFit="1" customWidth="1"/>
    <col min="4" max="4" width="40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45813</v>
      </c>
    </row>
    <row r="2" spans="1:7" x14ac:dyDescent="0.35">
      <c r="A2" s="3" t="s">
        <v>13</v>
      </c>
      <c r="B2" s="14">
        <v>-83.21</v>
      </c>
      <c r="C2" s="30">
        <v>45783</v>
      </c>
      <c r="D2" s="3" t="s">
        <v>306</v>
      </c>
    </row>
    <row r="3" spans="1:7" x14ac:dyDescent="0.35">
      <c r="A3" s="3" t="s">
        <v>11</v>
      </c>
      <c r="B3" s="14">
        <v>1000</v>
      </c>
      <c r="C3" s="30">
        <v>45783</v>
      </c>
      <c r="D3" s="3" t="s">
        <v>307</v>
      </c>
    </row>
    <row r="4" spans="1:7" x14ac:dyDescent="0.35">
      <c r="A4" s="3" t="s">
        <v>70</v>
      </c>
      <c r="B4" s="14">
        <v>2250</v>
      </c>
      <c r="C4" s="30">
        <v>45783</v>
      </c>
      <c r="D4" s="3" t="s">
        <v>308</v>
      </c>
    </row>
    <row r="5" spans="1:7" x14ac:dyDescent="0.35">
      <c r="A5" s="3" t="s">
        <v>28</v>
      </c>
      <c r="B5" s="14">
        <v>249</v>
      </c>
      <c r="C5" s="30">
        <v>45783</v>
      </c>
      <c r="D5" s="3" t="s">
        <v>309</v>
      </c>
    </row>
    <row r="6" spans="1:7" x14ac:dyDescent="0.35">
      <c r="A6" s="3" t="s">
        <v>8</v>
      </c>
      <c r="B6" s="14">
        <v>2551.94</v>
      </c>
      <c r="C6" s="30">
        <v>45783</v>
      </c>
      <c r="D6" s="3" t="s">
        <v>310</v>
      </c>
    </row>
    <row r="7" spans="1:7" x14ac:dyDescent="0.35">
      <c r="A7" s="3" t="s">
        <v>11</v>
      </c>
      <c r="B7" s="14">
        <v>3000</v>
      </c>
      <c r="C7" s="30">
        <v>45814</v>
      </c>
      <c r="D7" s="3" t="s">
        <v>311</v>
      </c>
    </row>
    <row r="8" spans="1:7" x14ac:dyDescent="0.35">
      <c r="A8" s="3" t="s">
        <v>92</v>
      </c>
      <c r="B8" s="14">
        <v>1000</v>
      </c>
      <c r="C8" s="30">
        <v>45817</v>
      </c>
      <c r="D8" s="3" t="s">
        <v>312</v>
      </c>
    </row>
    <row r="9" spans="1:7" x14ac:dyDescent="0.35">
      <c r="A9" s="3" t="s">
        <v>93</v>
      </c>
      <c r="B9" s="14">
        <v>16</v>
      </c>
      <c r="C9" s="30">
        <v>45817</v>
      </c>
      <c r="D9" s="3" t="s">
        <v>313</v>
      </c>
    </row>
    <row r="10" spans="1:7" x14ac:dyDescent="0.35">
      <c r="A10" s="3" t="s">
        <v>91</v>
      </c>
      <c r="B10" s="14">
        <v>50</v>
      </c>
      <c r="C10" s="30">
        <v>45817</v>
      </c>
      <c r="D10" s="3" t="s">
        <v>314</v>
      </c>
    </row>
    <row r="11" spans="1:7" x14ac:dyDescent="0.35">
      <c r="A11" s="3" t="s">
        <v>85</v>
      </c>
      <c r="B11" s="14">
        <v>5</v>
      </c>
      <c r="C11" s="30">
        <v>45817</v>
      </c>
      <c r="D11" s="3" t="s">
        <v>315</v>
      </c>
    </row>
    <row r="12" spans="1:7" x14ac:dyDescent="0.35">
      <c r="A12" s="3" t="s">
        <v>59</v>
      </c>
      <c r="B12" s="14">
        <v>-3000</v>
      </c>
      <c r="C12" s="30">
        <v>45822</v>
      </c>
      <c r="D12" s="3" t="s">
        <v>316</v>
      </c>
    </row>
    <row r="13" spans="1:7" x14ac:dyDescent="0.35">
      <c r="A13" s="3" t="s">
        <v>11</v>
      </c>
      <c r="B13" s="14">
        <v>3000</v>
      </c>
      <c r="C13" s="30">
        <v>45822</v>
      </c>
      <c r="D13" s="3" t="s">
        <v>317</v>
      </c>
    </row>
    <row r="14" spans="1:7" x14ac:dyDescent="0.35">
      <c r="A14" s="3" t="s">
        <v>13</v>
      </c>
      <c r="B14" s="14">
        <v>18.84</v>
      </c>
      <c r="C14" s="30">
        <v>45827</v>
      </c>
      <c r="D14" s="3" t="s">
        <v>318</v>
      </c>
    </row>
    <row r="15" spans="1:7" x14ac:dyDescent="0.35">
      <c r="C15" s="30"/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71CDB3-F4DC-453B-901C-27BEEC100B57}">
          <x14:formula1>
            <xm:f>'Dropdown Expenses'!$A:$A</xm:f>
          </x14:formula1>
          <xm:sqref>A15:A1048576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B9A7B-9145-44BE-8B93-B81DA670DA83}">
  <sheetPr codeName="Sheet20"/>
  <dimension ref="A1:G24"/>
  <sheetViews>
    <sheetView zoomScale="151" workbookViewId="0">
      <selection activeCell="A21" sqref="A21"/>
    </sheetView>
  </sheetViews>
  <sheetFormatPr defaultColWidth="9.140625" defaultRowHeight="18" x14ac:dyDescent="0.35"/>
  <cols>
    <col min="1" max="1" width="15.7109375" style="3" bestFit="1" customWidth="1"/>
    <col min="2" max="2" width="12.85546875" style="14" bestFit="1" customWidth="1"/>
    <col min="3" max="3" width="11.85546875" style="3" bestFit="1" customWidth="1"/>
    <col min="4" max="4" width="38.710937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45827</v>
      </c>
    </row>
    <row r="2" spans="1:7" x14ac:dyDescent="0.35">
      <c r="A2" s="3" t="s">
        <v>13</v>
      </c>
      <c r="B2" s="14">
        <v>-26.78</v>
      </c>
      <c r="C2" s="30">
        <v>45827</v>
      </c>
      <c r="D2" s="3" t="s">
        <v>319</v>
      </c>
    </row>
    <row r="3" spans="1:7" x14ac:dyDescent="0.35">
      <c r="A3" s="3" t="s">
        <v>70</v>
      </c>
      <c r="B3" s="14">
        <v>2250</v>
      </c>
      <c r="C3" s="30">
        <v>45827</v>
      </c>
      <c r="D3" s="3" t="s">
        <v>320</v>
      </c>
    </row>
    <row r="4" spans="1:7" x14ac:dyDescent="0.35">
      <c r="A4" s="3" t="s">
        <v>10</v>
      </c>
      <c r="B4" s="14">
        <v>2840.25</v>
      </c>
      <c r="C4" s="30">
        <v>45827</v>
      </c>
      <c r="D4" s="3" t="s">
        <v>321</v>
      </c>
    </row>
    <row r="5" spans="1:7" x14ac:dyDescent="0.35">
      <c r="A5" s="3" t="s">
        <v>8</v>
      </c>
      <c r="B5" s="14">
        <v>1649.92</v>
      </c>
      <c r="C5" s="30">
        <v>45827</v>
      </c>
      <c r="D5" s="3" t="s">
        <v>322</v>
      </c>
    </row>
    <row r="6" spans="1:7" x14ac:dyDescent="0.35">
      <c r="A6" s="3" t="s">
        <v>76</v>
      </c>
      <c r="B6" s="14">
        <v>199</v>
      </c>
      <c r="C6" s="30">
        <v>45828</v>
      </c>
      <c r="D6" s="3" t="s">
        <v>323</v>
      </c>
    </row>
    <row r="7" spans="1:7" x14ac:dyDescent="0.35">
      <c r="A7" s="3" t="s">
        <v>15</v>
      </c>
      <c r="B7" s="14">
        <v>750</v>
      </c>
      <c r="C7" s="30">
        <v>45829</v>
      </c>
      <c r="D7" s="3" t="s">
        <v>324</v>
      </c>
    </row>
    <row r="8" spans="1:7" x14ac:dyDescent="0.35">
      <c r="A8" s="3" t="s">
        <v>50</v>
      </c>
      <c r="B8" s="14">
        <v>100</v>
      </c>
      <c r="C8" s="30">
        <v>45829</v>
      </c>
      <c r="D8" s="3" t="s">
        <v>325</v>
      </c>
    </row>
    <row r="9" spans="1:7" x14ac:dyDescent="0.35">
      <c r="A9" s="3" t="s">
        <v>11</v>
      </c>
      <c r="B9" s="14">
        <v>150</v>
      </c>
      <c r="C9" s="30">
        <v>45829</v>
      </c>
      <c r="D9" s="3" t="s">
        <v>326</v>
      </c>
    </row>
    <row r="10" spans="1:7" x14ac:dyDescent="0.35">
      <c r="A10" s="3" t="s">
        <v>85</v>
      </c>
      <c r="B10" s="14">
        <v>5</v>
      </c>
      <c r="C10" s="30">
        <v>45829</v>
      </c>
      <c r="D10" s="3" t="s">
        <v>315</v>
      </c>
    </row>
    <row r="11" spans="1:7" x14ac:dyDescent="0.35">
      <c r="A11" s="3" t="s">
        <v>11</v>
      </c>
      <c r="B11" s="14">
        <v>1000</v>
      </c>
      <c r="C11" s="30">
        <v>45832</v>
      </c>
      <c r="D11" s="3" t="s">
        <v>312</v>
      </c>
    </row>
    <row r="12" spans="1:7" x14ac:dyDescent="0.35">
      <c r="A12" s="3" t="s">
        <v>93</v>
      </c>
      <c r="B12" s="14">
        <v>18</v>
      </c>
      <c r="C12" s="30">
        <v>45832</v>
      </c>
      <c r="D12" s="3" t="s">
        <v>327</v>
      </c>
    </row>
    <row r="13" spans="1:7" x14ac:dyDescent="0.35">
      <c r="A13" s="3" t="s">
        <v>89</v>
      </c>
      <c r="B13" s="14">
        <v>218</v>
      </c>
      <c r="C13" s="30">
        <v>45835</v>
      </c>
      <c r="D13" s="3" t="s">
        <v>328</v>
      </c>
    </row>
    <row r="14" spans="1:7" x14ac:dyDescent="0.35">
      <c r="A14" s="3" t="s">
        <v>11</v>
      </c>
      <c r="B14" s="14">
        <v>400</v>
      </c>
      <c r="C14" s="30">
        <v>45837</v>
      </c>
      <c r="D14" s="3" t="s">
        <v>329</v>
      </c>
    </row>
    <row r="15" spans="1:7" x14ac:dyDescent="0.35">
      <c r="A15" s="3" t="s">
        <v>85</v>
      </c>
      <c r="B15" s="14">
        <v>5</v>
      </c>
      <c r="C15" s="30">
        <v>45837</v>
      </c>
      <c r="D15" s="3" t="s">
        <v>330</v>
      </c>
    </row>
    <row r="16" spans="1:7" x14ac:dyDescent="0.35">
      <c r="A16" s="3" t="s">
        <v>11</v>
      </c>
      <c r="B16" s="14">
        <v>400</v>
      </c>
      <c r="C16" s="30">
        <v>45839</v>
      </c>
      <c r="D16" s="3" t="s">
        <v>331</v>
      </c>
    </row>
    <row r="17" spans="1:4" x14ac:dyDescent="0.35">
      <c r="A17" s="3" t="s">
        <v>85</v>
      </c>
      <c r="B17" s="14">
        <v>5</v>
      </c>
      <c r="C17" s="30">
        <v>45839</v>
      </c>
      <c r="D17" s="3" t="s">
        <v>330</v>
      </c>
    </row>
    <row r="18" spans="1:4" x14ac:dyDescent="0.35">
      <c r="A18" s="3" t="s">
        <v>79</v>
      </c>
      <c r="B18" s="14">
        <v>0.08</v>
      </c>
      <c r="C18" s="30">
        <v>45839</v>
      </c>
      <c r="D18" s="3" t="s">
        <v>332</v>
      </c>
    </row>
    <row r="19" spans="1:4" x14ac:dyDescent="0.35">
      <c r="A19" s="3" t="s">
        <v>41</v>
      </c>
      <c r="B19" s="14">
        <v>-0.39</v>
      </c>
      <c r="C19" s="30">
        <v>45839</v>
      </c>
      <c r="D19" s="3" t="s">
        <v>333</v>
      </c>
    </row>
    <row r="20" spans="1:4" x14ac:dyDescent="0.35">
      <c r="A20" s="3" t="s">
        <v>13</v>
      </c>
      <c r="B20" s="14">
        <v>58.58</v>
      </c>
      <c r="C20" s="30">
        <v>45841</v>
      </c>
      <c r="D20" s="3" t="s">
        <v>334</v>
      </c>
    </row>
    <row r="21" spans="1:4" x14ac:dyDescent="0.35">
      <c r="C21" s="30"/>
    </row>
    <row r="22" spans="1:4" x14ac:dyDescent="0.35">
      <c r="C22" s="30"/>
    </row>
    <row r="23" spans="1:4" x14ac:dyDescent="0.35">
      <c r="C23" s="30"/>
    </row>
    <row r="24" spans="1:4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69367F4-F891-4EA4-86FB-3788A4B0AC87}">
          <x14:formula1>
            <xm:f>'Dropdown Expenses'!$A:$A</xm:f>
          </x14:formula1>
          <xm:sqref>A21:A1048576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DF09F-97F7-4E2F-B733-E81D66E5DDE2}">
  <sheetPr codeName="Sheet21"/>
  <dimension ref="A1:G25"/>
  <sheetViews>
    <sheetView zoomScale="151" workbookViewId="0">
      <selection activeCell="C24" sqref="C24"/>
    </sheetView>
  </sheetViews>
  <sheetFormatPr defaultColWidth="9.140625" defaultRowHeight="18" x14ac:dyDescent="0.35"/>
  <cols>
    <col min="1" max="1" width="15.7109375" style="3" bestFit="1" customWidth="1"/>
    <col min="2" max="2" width="12.85546875" style="14" bestFit="1" customWidth="1"/>
    <col min="3" max="3" width="11.7109375" style="3" bestFit="1" customWidth="1"/>
    <col min="4" max="4" width="52.425781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45841</v>
      </c>
    </row>
    <row r="2" spans="1:7" x14ac:dyDescent="0.35">
      <c r="A2" s="3" t="s">
        <v>13</v>
      </c>
      <c r="B2" s="14">
        <v>-58.58</v>
      </c>
      <c r="C2" s="30">
        <v>45841</v>
      </c>
      <c r="D2" s="3" t="s">
        <v>335</v>
      </c>
    </row>
    <row r="3" spans="1:7" x14ac:dyDescent="0.35">
      <c r="A3" s="3" t="s">
        <v>28</v>
      </c>
      <c r="B3" s="14">
        <v>288</v>
      </c>
      <c r="C3" s="30">
        <v>45841</v>
      </c>
      <c r="D3" s="3" t="s">
        <v>336</v>
      </c>
    </row>
    <row r="4" spans="1:7" x14ac:dyDescent="0.35">
      <c r="A4" s="3" t="s">
        <v>15</v>
      </c>
      <c r="B4" s="14">
        <v>600</v>
      </c>
      <c r="C4" s="30">
        <v>45841</v>
      </c>
      <c r="D4" s="3" t="s">
        <v>337</v>
      </c>
    </row>
    <row r="5" spans="1:7" x14ac:dyDescent="0.35">
      <c r="A5" s="3" t="s">
        <v>36</v>
      </c>
      <c r="B5" s="14">
        <v>1000</v>
      </c>
      <c r="C5" s="30">
        <v>45841</v>
      </c>
      <c r="D5" s="3" t="s">
        <v>338</v>
      </c>
    </row>
    <row r="6" spans="1:7" x14ac:dyDescent="0.35">
      <c r="A6" s="3" t="s">
        <v>8</v>
      </c>
      <c r="B6" s="14">
        <f>3283-700</f>
        <v>2583</v>
      </c>
      <c r="C6" s="30">
        <v>45841</v>
      </c>
      <c r="D6" s="3" t="s">
        <v>339</v>
      </c>
    </row>
    <row r="7" spans="1:7" x14ac:dyDescent="0.35">
      <c r="A7" s="3" t="s">
        <v>10</v>
      </c>
      <c r="B7" s="14">
        <v>948</v>
      </c>
      <c r="C7" s="30">
        <v>45841</v>
      </c>
      <c r="D7" s="3" t="s">
        <v>340</v>
      </c>
    </row>
    <row r="8" spans="1:7" x14ac:dyDescent="0.35">
      <c r="A8" s="3" t="s">
        <v>85</v>
      </c>
      <c r="B8" s="14">
        <v>5</v>
      </c>
      <c r="C8" s="30">
        <v>45841</v>
      </c>
      <c r="D8" s="3" t="s">
        <v>341</v>
      </c>
    </row>
    <row r="9" spans="1:7" x14ac:dyDescent="0.35">
      <c r="A9" s="3" t="s">
        <v>85</v>
      </c>
      <c r="B9" s="14">
        <v>5</v>
      </c>
      <c r="C9" s="30">
        <v>45841</v>
      </c>
      <c r="D9" s="3" t="s">
        <v>288</v>
      </c>
    </row>
    <row r="10" spans="1:7" x14ac:dyDescent="0.35">
      <c r="A10" s="3" t="s">
        <v>50</v>
      </c>
      <c r="B10" s="14">
        <v>105</v>
      </c>
      <c r="C10" s="30">
        <v>45843</v>
      </c>
      <c r="D10" s="3" t="s">
        <v>342</v>
      </c>
    </row>
    <row r="11" spans="1:7" x14ac:dyDescent="0.35">
      <c r="A11" s="3" t="s">
        <v>11</v>
      </c>
      <c r="B11" s="14">
        <v>1000</v>
      </c>
      <c r="C11" s="30">
        <v>45843</v>
      </c>
      <c r="D11" s="3" t="s">
        <v>48</v>
      </c>
    </row>
    <row r="12" spans="1:7" x14ac:dyDescent="0.35">
      <c r="A12" s="3" t="s">
        <v>88</v>
      </c>
      <c r="B12" s="14">
        <v>455</v>
      </c>
      <c r="C12" s="30">
        <v>45843</v>
      </c>
      <c r="D12" s="3" t="s">
        <v>343</v>
      </c>
    </row>
    <row r="13" spans="1:7" x14ac:dyDescent="0.35">
      <c r="A13" s="3" t="s">
        <v>11</v>
      </c>
      <c r="B13" s="14">
        <v>1000</v>
      </c>
      <c r="C13" s="30">
        <v>45843</v>
      </c>
      <c r="D13" s="3" t="s">
        <v>344</v>
      </c>
    </row>
    <row r="14" spans="1:7" x14ac:dyDescent="0.35">
      <c r="A14" s="3" t="s">
        <v>85</v>
      </c>
      <c r="B14" s="14">
        <v>5</v>
      </c>
      <c r="C14" s="30">
        <v>45843</v>
      </c>
      <c r="D14" s="3" t="s">
        <v>344</v>
      </c>
    </row>
    <row r="15" spans="1:7" x14ac:dyDescent="0.35">
      <c r="A15" s="3" t="s">
        <v>10</v>
      </c>
      <c r="B15" s="14">
        <v>1624</v>
      </c>
      <c r="C15" s="30">
        <v>45847</v>
      </c>
      <c r="D15" s="3" t="s">
        <v>345</v>
      </c>
    </row>
    <row r="16" spans="1:7" x14ac:dyDescent="0.35">
      <c r="A16" s="3" t="s">
        <v>83</v>
      </c>
      <c r="B16" s="14">
        <v>505</v>
      </c>
      <c r="C16" s="30">
        <v>45847</v>
      </c>
      <c r="D16" s="3" t="s">
        <v>346</v>
      </c>
    </row>
    <row r="17" spans="1:4" x14ac:dyDescent="0.35">
      <c r="A17" s="3" t="s">
        <v>87</v>
      </c>
      <c r="B17" s="14">
        <v>1000</v>
      </c>
      <c r="C17" s="30">
        <v>45847</v>
      </c>
      <c r="D17" s="3" t="s">
        <v>347</v>
      </c>
    </row>
    <row r="18" spans="1:4" x14ac:dyDescent="0.35">
      <c r="A18" s="3" t="s">
        <v>76</v>
      </c>
      <c r="B18" s="14">
        <v>199</v>
      </c>
      <c r="C18" s="30">
        <v>45849</v>
      </c>
      <c r="D18" s="3" t="s">
        <v>323</v>
      </c>
    </row>
    <row r="19" spans="1:4" x14ac:dyDescent="0.35">
      <c r="A19" s="3" t="s">
        <v>11</v>
      </c>
      <c r="B19" s="14">
        <v>1000</v>
      </c>
      <c r="C19" s="30">
        <v>45849</v>
      </c>
      <c r="D19" s="3" t="s">
        <v>312</v>
      </c>
    </row>
    <row r="20" spans="1:4" x14ac:dyDescent="0.35">
      <c r="A20" s="3" t="s">
        <v>50</v>
      </c>
      <c r="B20" s="14">
        <v>110</v>
      </c>
      <c r="C20" s="30">
        <v>45851</v>
      </c>
      <c r="D20" s="3" t="s">
        <v>348</v>
      </c>
    </row>
    <row r="21" spans="1:4" x14ac:dyDescent="0.35">
      <c r="A21" s="3" t="s">
        <v>77</v>
      </c>
      <c r="B21" s="14">
        <v>404</v>
      </c>
      <c r="C21" s="30">
        <v>45852</v>
      </c>
      <c r="D21" s="3" t="s">
        <v>349</v>
      </c>
    </row>
    <row r="22" spans="1:4" x14ac:dyDescent="0.35">
      <c r="A22" s="3" t="s">
        <v>27</v>
      </c>
      <c r="B22" s="14">
        <v>225</v>
      </c>
      <c r="C22" s="30">
        <v>45853</v>
      </c>
      <c r="D22" s="3" t="s">
        <v>350</v>
      </c>
    </row>
    <row r="23" spans="1:4" x14ac:dyDescent="0.35">
      <c r="A23" s="3" t="s">
        <v>72</v>
      </c>
      <c r="B23" s="14">
        <v>1700</v>
      </c>
      <c r="C23" s="30">
        <v>45855</v>
      </c>
      <c r="D23" s="3" t="s">
        <v>351</v>
      </c>
    </row>
    <row r="24" spans="1:4" x14ac:dyDescent="0.35">
      <c r="A24" s="3" t="s">
        <v>85</v>
      </c>
      <c r="B24" s="14">
        <v>10</v>
      </c>
      <c r="C24" s="30">
        <v>45855</v>
      </c>
      <c r="D24" s="3" t="s">
        <v>352</v>
      </c>
    </row>
    <row r="25" spans="1:4" x14ac:dyDescent="0.35">
      <c r="A25" s="3" t="s">
        <v>13</v>
      </c>
      <c r="B25" s="14">
        <v>25.74</v>
      </c>
      <c r="C25" s="30">
        <v>45855</v>
      </c>
      <c r="D25" s="3" t="s">
        <v>353</v>
      </c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F831B5-AE9F-450C-879C-B766454FDFE8}">
          <x14:formula1>
            <xm:f>'Dropdown Expenses'!$A:$A</xm:f>
          </x14:formula1>
          <xm:sqref>A23 A25:A1048576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AB38E-D62A-45FD-A645-618FA99F0B63}">
  <sheetPr codeName="Sheet22"/>
  <dimension ref="A1:G24"/>
  <sheetViews>
    <sheetView zoomScale="151" workbookViewId="0">
      <selection activeCell="A18" sqref="A18"/>
    </sheetView>
  </sheetViews>
  <sheetFormatPr defaultColWidth="9.140625" defaultRowHeight="18" x14ac:dyDescent="0.35"/>
  <cols>
    <col min="1" max="1" width="15.7109375" style="3" bestFit="1" customWidth="1"/>
    <col min="2" max="2" width="12.42578125" style="14" bestFit="1" customWidth="1"/>
    <col min="3" max="3" width="11.28515625" style="3" bestFit="1" customWidth="1"/>
    <col min="4" max="4" width="31.425781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45855</v>
      </c>
    </row>
    <row r="2" spans="1:7" x14ac:dyDescent="0.35">
      <c r="A2" s="3" t="s">
        <v>11</v>
      </c>
      <c r="B2" s="14">
        <v>1000</v>
      </c>
      <c r="C2" s="30">
        <v>45854</v>
      </c>
      <c r="D2" s="3" t="s">
        <v>312</v>
      </c>
    </row>
    <row r="3" spans="1:7" x14ac:dyDescent="0.35">
      <c r="A3" s="3" t="s">
        <v>13</v>
      </c>
      <c r="B3" s="14">
        <v>-25.74</v>
      </c>
      <c r="C3" s="30">
        <v>45855</v>
      </c>
      <c r="D3" s="3" t="s">
        <v>354</v>
      </c>
    </row>
    <row r="4" spans="1:7" x14ac:dyDescent="0.35">
      <c r="A4" s="3" t="s">
        <v>77</v>
      </c>
      <c r="B4" s="14">
        <v>500</v>
      </c>
      <c r="C4" s="30">
        <v>45855</v>
      </c>
      <c r="D4" s="3" t="s">
        <v>355</v>
      </c>
    </row>
    <row r="5" spans="1:7" x14ac:dyDescent="0.35">
      <c r="A5" s="3" t="s">
        <v>8</v>
      </c>
      <c r="B5" s="14">
        <v>1261.4000000000001</v>
      </c>
      <c r="C5" s="30">
        <v>45855</v>
      </c>
      <c r="D5" s="3" t="s">
        <v>356</v>
      </c>
    </row>
    <row r="6" spans="1:7" x14ac:dyDescent="0.35">
      <c r="A6" s="3" t="s">
        <v>10</v>
      </c>
      <c r="B6" s="14">
        <v>1083.25</v>
      </c>
      <c r="C6" s="30">
        <v>45855</v>
      </c>
      <c r="D6" s="3" t="s">
        <v>357</v>
      </c>
    </row>
    <row r="7" spans="1:7" x14ac:dyDescent="0.35">
      <c r="A7" s="3" t="s">
        <v>40</v>
      </c>
      <c r="B7" s="14">
        <v>4000</v>
      </c>
      <c r="C7" s="30">
        <v>45855</v>
      </c>
      <c r="D7" s="3" t="s">
        <v>182</v>
      </c>
    </row>
    <row r="8" spans="1:7" x14ac:dyDescent="0.35">
      <c r="A8" s="3" t="s">
        <v>85</v>
      </c>
      <c r="B8" s="14">
        <v>5</v>
      </c>
      <c r="C8" s="30">
        <v>45855</v>
      </c>
      <c r="D8" s="3" t="s">
        <v>358</v>
      </c>
    </row>
    <row r="9" spans="1:7" x14ac:dyDescent="0.35">
      <c r="A9" s="3" t="s">
        <v>54</v>
      </c>
      <c r="B9" s="14">
        <v>198</v>
      </c>
      <c r="C9" s="30">
        <v>45856</v>
      </c>
      <c r="D9" s="3" t="s">
        <v>359</v>
      </c>
    </row>
    <row r="10" spans="1:7" x14ac:dyDescent="0.35">
      <c r="A10" s="3" t="s">
        <v>11</v>
      </c>
      <c r="B10" s="14">
        <v>1000</v>
      </c>
      <c r="C10" s="30">
        <v>45856</v>
      </c>
      <c r="D10" s="3" t="s">
        <v>312</v>
      </c>
    </row>
    <row r="11" spans="1:7" x14ac:dyDescent="0.35">
      <c r="A11" s="3" t="s">
        <v>11</v>
      </c>
      <c r="B11" s="14">
        <v>1000</v>
      </c>
      <c r="C11" s="30">
        <v>45860</v>
      </c>
      <c r="D11" s="3" t="s">
        <v>312</v>
      </c>
    </row>
    <row r="12" spans="1:7" x14ac:dyDescent="0.35">
      <c r="A12" s="3" t="s">
        <v>11</v>
      </c>
      <c r="B12" s="14">
        <v>1000</v>
      </c>
      <c r="C12" s="30">
        <v>45863</v>
      </c>
      <c r="D12" s="3" t="s">
        <v>312</v>
      </c>
    </row>
    <row r="13" spans="1:7" x14ac:dyDescent="0.35">
      <c r="A13" s="3" t="s">
        <v>59</v>
      </c>
      <c r="B13" s="14">
        <v>-500</v>
      </c>
      <c r="C13" s="30">
        <v>45863</v>
      </c>
      <c r="D13" s="3" t="s">
        <v>360</v>
      </c>
    </row>
    <row r="14" spans="1:7" x14ac:dyDescent="0.35">
      <c r="A14" s="3" t="s">
        <v>59</v>
      </c>
      <c r="B14" s="14">
        <v>-1800</v>
      </c>
      <c r="C14" s="30">
        <v>45864</v>
      </c>
      <c r="D14" s="3" t="s">
        <v>181</v>
      </c>
    </row>
    <row r="15" spans="1:7" x14ac:dyDescent="0.35">
      <c r="A15" s="3" t="s">
        <v>72</v>
      </c>
      <c r="B15" s="14">
        <v>1800</v>
      </c>
      <c r="C15" s="30">
        <v>45864</v>
      </c>
      <c r="D15" s="3" t="s">
        <v>361</v>
      </c>
    </row>
    <row r="16" spans="1:7" x14ac:dyDescent="0.35">
      <c r="A16" s="3" t="s">
        <v>11</v>
      </c>
      <c r="B16" s="14">
        <v>500</v>
      </c>
      <c r="C16" s="30">
        <v>45866</v>
      </c>
      <c r="D16" s="3" t="s">
        <v>312</v>
      </c>
    </row>
    <row r="17" spans="1:4" x14ac:dyDescent="0.35">
      <c r="A17" s="3" t="s">
        <v>13</v>
      </c>
      <c r="B17" s="14">
        <v>341.07999999999993</v>
      </c>
      <c r="C17" s="30">
        <v>45869</v>
      </c>
      <c r="D17" s="3" t="s">
        <v>362</v>
      </c>
    </row>
    <row r="18" spans="1:4" x14ac:dyDescent="0.35">
      <c r="C18" s="30"/>
    </row>
    <row r="19" spans="1:4" x14ac:dyDescent="0.35">
      <c r="C19" s="30"/>
    </row>
    <row r="20" spans="1:4" x14ac:dyDescent="0.35">
      <c r="C20" s="30"/>
    </row>
    <row r="21" spans="1:4" x14ac:dyDescent="0.35">
      <c r="C21" s="30"/>
    </row>
    <row r="22" spans="1:4" x14ac:dyDescent="0.35">
      <c r="C22" s="30"/>
    </row>
    <row r="23" spans="1:4" x14ac:dyDescent="0.35">
      <c r="C23" s="30"/>
    </row>
    <row r="24" spans="1:4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F15941-C6E4-40C1-82DF-438BE555548F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4E3CF-DB0B-43A6-9633-12526CB6F202}">
  <sheetPr codeName="Sheet23"/>
  <dimension ref="A1:G24"/>
  <sheetViews>
    <sheetView zoomScale="151" workbookViewId="0">
      <selection activeCell="J5" sqref="J5"/>
    </sheetView>
  </sheetViews>
  <sheetFormatPr defaultColWidth="9.140625" defaultRowHeight="18" x14ac:dyDescent="0.35"/>
  <cols>
    <col min="1" max="1" width="14.7109375" style="3" bestFit="1" customWidth="1"/>
    <col min="2" max="2" width="12.42578125" style="14" bestFit="1" customWidth="1"/>
    <col min="3" max="3" width="11.42578125" style="3" bestFit="1" customWidth="1"/>
    <col min="4" max="4" width="29.425781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45869</v>
      </c>
    </row>
    <row r="2" spans="1:7" x14ac:dyDescent="0.35">
      <c r="A2" s="3" t="s">
        <v>11</v>
      </c>
      <c r="B2" s="14">
        <v>500</v>
      </c>
      <c r="C2" s="30">
        <v>45866</v>
      </c>
      <c r="D2" s="3" t="s">
        <v>283</v>
      </c>
    </row>
    <row r="3" spans="1:7" x14ac:dyDescent="0.35">
      <c r="A3" s="3" t="s">
        <v>93</v>
      </c>
      <c r="B3" s="14">
        <v>18</v>
      </c>
      <c r="C3" s="30">
        <v>45866</v>
      </c>
      <c r="D3" s="3" t="s">
        <v>363</v>
      </c>
    </row>
    <row r="4" spans="1:7" x14ac:dyDescent="0.35">
      <c r="A4" s="3" t="s">
        <v>40</v>
      </c>
      <c r="B4" s="14">
        <v>4000</v>
      </c>
      <c r="C4" s="30">
        <v>45869</v>
      </c>
      <c r="D4" s="3" t="s">
        <v>182</v>
      </c>
    </row>
    <row r="5" spans="1:7" x14ac:dyDescent="0.35">
      <c r="A5" s="3" t="s">
        <v>13</v>
      </c>
      <c r="B5" s="14">
        <v>-341.08</v>
      </c>
      <c r="C5" s="30">
        <v>45869</v>
      </c>
      <c r="D5" s="3" t="s">
        <v>364</v>
      </c>
    </row>
    <row r="6" spans="1:7" x14ac:dyDescent="0.35">
      <c r="A6" s="3" t="s">
        <v>8</v>
      </c>
      <c r="B6" s="14">
        <v>2553.75</v>
      </c>
      <c r="C6" s="30">
        <v>45869</v>
      </c>
      <c r="D6" s="3" t="s">
        <v>365</v>
      </c>
    </row>
    <row r="7" spans="1:7" x14ac:dyDescent="0.35">
      <c r="A7" s="3" t="s">
        <v>11</v>
      </c>
      <c r="B7" s="14">
        <v>1000</v>
      </c>
      <c r="C7" s="30">
        <v>45869</v>
      </c>
      <c r="D7" s="3" t="s">
        <v>283</v>
      </c>
    </row>
    <row r="8" spans="1:7" x14ac:dyDescent="0.35">
      <c r="A8" s="3" t="s">
        <v>84</v>
      </c>
      <c r="B8" s="14">
        <v>50</v>
      </c>
      <c r="C8" s="30">
        <v>45870</v>
      </c>
      <c r="D8" s="3" t="s">
        <v>285</v>
      </c>
    </row>
    <row r="9" spans="1:7" x14ac:dyDescent="0.35">
      <c r="A9" s="3" t="s">
        <v>3</v>
      </c>
      <c r="B9" s="14">
        <v>170</v>
      </c>
      <c r="C9" s="30">
        <v>45870</v>
      </c>
      <c r="D9" s="3" t="s">
        <v>366</v>
      </c>
    </row>
    <row r="10" spans="1:7" x14ac:dyDescent="0.35">
      <c r="A10" s="3" t="s">
        <v>31</v>
      </c>
      <c r="B10" s="14">
        <v>298</v>
      </c>
      <c r="C10" s="30">
        <v>45871</v>
      </c>
      <c r="D10" s="3" t="s">
        <v>367</v>
      </c>
    </row>
    <row r="11" spans="1:7" x14ac:dyDescent="0.35">
      <c r="A11" s="3" t="s">
        <v>11</v>
      </c>
      <c r="B11" s="14">
        <v>1018</v>
      </c>
      <c r="C11" s="30">
        <v>45875</v>
      </c>
      <c r="D11" s="3" t="s">
        <v>368</v>
      </c>
    </row>
    <row r="12" spans="1:7" x14ac:dyDescent="0.35">
      <c r="A12" s="3" t="s">
        <v>3</v>
      </c>
      <c r="B12" s="14">
        <v>225</v>
      </c>
      <c r="C12" s="30">
        <v>45876</v>
      </c>
      <c r="D12" s="3" t="s">
        <v>369</v>
      </c>
    </row>
    <row r="13" spans="1:7" x14ac:dyDescent="0.35">
      <c r="A13" s="3" t="s">
        <v>3</v>
      </c>
      <c r="B13" s="14">
        <v>185</v>
      </c>
      <c r="C13" s="30">
        <v>45876</v>
      </c>
      <c r="D13" s="3" t="s">
        <v>370</v>
      </c>
    </row>
    <row r="14" spans="1:7" x14ac:dyDescent="0.35">
      <c r="A14" s="3" t="s">
        <v>76</v>
      </c>
      <c r="B14" s="14">
        <v>199</v>
      </c>
      <c r="C14" s="30">
        <v>45880</v>
      </c>
      <c r="D14" s="3" t="s">
        <v>371</v>
      </c>
    </row>
    <row r="15" spans="1:7" x14ac:dyDescent="0.35">
      <c r="A15" s="3" t="s">
        <v>13</v>
      </c>
      <c r="B15" s="14">
        <v>646.07000000000005</v>
      </c>
      <c r="C15" s="30">
        <v>45883</v>
      </c>
      <c r="D15" s="3" t="s">
        <v>372</v>
      </c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77DE68C-1653-48A1-93F0-59FB4D5B1F6F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F712E-70A2-4A75-8D85-0115DB7893DD}">
  <sheetPr codeName="Sheet13"/>
  <dimension ref="A1:G27"/>
  <sheetViews>
    <sheetView zoomScale="130" zoomScaleNormal="130" workbookViewId="0">
      <selection activeCell="B38" sqref="B38"/>
    </sheetView>
  </sheetViews>
  <sheetFormatPr defaultColWidth="9.140625" defaultRowHeight="18" x14ac:dyDescent="0.35"/>
  <cols>
    <col min="1" max="1" width="14.7109375" style="3" bestFit="1" customWidth="1"/>
    <col min="2" max="2" width="13.7109375" style="14" bestFit="1" customWidth="1"/>
    <col min="3" max="3" width="11.85546875" style="3" bestFit="1" customWidth="1"/>
    <col min="4" max="4" width="53.285156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45852</v>
      </c>
    </row>
    <row r="2" spans="1:7" x14ac:dyDescent="0.35">
      <c r="A2" s="3" t="s">
        <v>24</v>
      </c>
      <c r="B2" s="14">
        <v>355</v>
      </c>
      <c r="C2" s="30">
        <v>45854</v>
      </c>
      <c r="D2" s="3" t="s">
        <v>373</v>
      </c>
    </row>
    <row r="3" spans="1:7" x14ac:dyDescent="0.35">
      <c r="A3" s="3" t="s">
        <v>24</v>
      </c>
      <c r="B3" s="14">
        <v>567</v>
      </c>
      <c r="C3" s="30">
        <v>45854</v>
      </c>
      <c r="D3" s="3" t="s">
        <v>374</v>
      </c>
    </row>
    <row r="4" spans="1:7" x14ac:dyDescent="0.35">
      <c r="A4" s="3" t="s">
        <v>40</v>
      </c>
      <c r="B4" s="14">
        <v>30000</v>
      </c>
      <c r="C4" s="30">
        <v>45855</v>
      </c>
      <c r="D4" s="3" t="s">
        <v>176</v>
      </c>
    </row>
    <row r="5" spans="1:7" x14ac:dyDescent="0.35">
      <c r="A5" s="3" t="s">
        <v>40</v>
      </c>
      <c r="B5" s="14">
        <v>15000</v>
      </c>
      <c r="C5" s="30">
        <v>45855</v>
      </c>
      <c r="D5" s="3" t="s">
        <v>375</v>
      </c>
    </row>
    <row r="6" spans="1:7" x14ac:dyDescent="0.35">
      <c r="A6" s="3" t="s">
        <v>61</v>
      </c>
      <c r="B6" s="14">
        <v>2500</v>
      </c>
      <c r="C6" s="30">
        <v>45858</v>
      </c>
      <c r="D6" s="3" t="s">
        <v>376</v>
      </c>
    </row>
    <row r="7" spans="1:7" x14ac:dyDescent="0.35">
      <c r="A7" s="3" t="s">
        <v>11</v>
      </c>
      <c r="B7" s="14">
        <v>500</v>
      </c>
      <c r="C7" s="30">
        <v>45858</v>
      </c>
      <c r="D7" s="3" t="s">
        <v>48</v>
      </c>
    </row>
    <row r="8" spans="1:7" x14ac:dyDescent="0.35">
      <c r="A8" s="3" t="s">
        <v>36</v>
      </c>
      <c r="B8" s="14">
        <v>1000</v>
      </c>
      <c r="C8" s="30">
        <v>45859</v>
      </c>
      <c r="D8" s="3" t="s">
        <v>377</v>
      </c>
    </row>
    <row r="9" spans="1:7" x14ac:dyDescent="0.35">
      <c r="A9" s="3" t="s">
        <v>36</v>
      </c>
      <c r="B9" s="14">
        <v>500</v>
      </c>
      <c r="C9" s="30">
        <v>45859</v>
      </c>
      <c r="D9" s="3" t="s">
        <v>378</v>
      </c>
    </row>
    <row r="10" spans="1:7" x14ac:dyDescent="0.35">
      <c r="A10" s="3" t="s">
        <v>36</v>
      </c>
      <c r="B10" s="14">
        <v>500</v>
      </c>
      <c r="C10" s="30">
        <v>45859</v>
      </c>
      <c r="D10" s="3" t="s">
        <v>379</v>
      </c>
    </row>
    <row r="11" spans="1:7" x14ac:dyDescent="0.35">
      <c r="A11" s="3" t="s">
        <v>40</v>
      </c>
      <c r="B11" s="14">
        <v>5000</v>
      </c>
      <c r="C11" s="30">
        <v>45861</v>
      </c>
      <c r="D11" s="3" t="s">
        <v>380</v>
      </c>
    </row>
    <row r="12" spans="1:7" x14ac:dyDescent="0.35">
      <c r="A12" s="3" t="s">
        <v>40</v>
      </c>
      <c r="B12" s="14">
        <v>30010</v>
      </c>
      <c r="C12" s="30">
        <v>45865</v>
      </c>
      <c r="D12" s="3" t="s">
        <v>381</v>
      </c>
    </row>
    <row r="13" spans="1:7" x14ac:dyDescent="0.35">
      <c r="A13" s="3" t="s">
        <v>8</v>
      </c>
      <c r="B13" s="14">
        <v>1507</v>
      </c>
      <c r="C13" s="30">
        <v>45869</v>
      </c>
      <c r="D13" s="3" t="s">
        <v>382</v>
      </c>
    </row>
    <row r="14" spans="1:7" x14ac:dyDescent="0.35">
      <c r="A14" s="3" t="s">
        <v>8</v>
      </c>
      <c r="B14" s="14">
        <v>5</v>
      </c>
      <c r="C14" s="30">
        <v>45869</v>
      </c>
      <c r="D14" s="3" t="s">
        <v>383</v>
      </c>
    </row>
    <row r="15" spans="1:7" x14ac:dyDescent="0.35">
      <c r="A15" s="3" t="s">
        <v>40</v>
      </c>
      <c r="B15" s="14">
        <v>10000</v>
      </c>
      <c r="C15" s="30">
        <v>45881</v>
      </c>
      <c r="D15" s="3" t="s">
        <v>384</v>
      </c>
    </row>
    <row r="16" spans="1:7" x14ac:dyDescent="0.35">
      <c r="A16" s="3" t="s">
        <v>93</v>
      </c>
      <c r="B16" s="14">
        <v>18</v>
      </c>
      <c r="C16" s="30">
        <v>45881</v>
      </c>
      <c r="D16" s="3" t="s">
        <v>385</v>
      </c>
    </row>
    <row r="17" spans="1:4" x14ac:dyDescent="0.35">
      <c r="A17" s="3" t="s">
        <v>92</v>
      </c>
      <c r="B17" s="14">
        <v>250</v>
      </c>
      <c r="C17" s="30">
        <v>45881</v>
      </c>
      <c r="D17" s="3" t="s">
        <v>386</v>
      </c>
    </row>
    <row r="18" spans="1:4" x14ac:dyDescent="0.35">
      <c r="A18" s="3" t="s">
        <v>24</v>
      </c>
      <c r="B18" s="14">
        <v>500</v>
      </c>
      <c r="C18" s="30">
        <v>45886</v>
      </c>
      <c r="D18" s="3" t="s">
        <v>387</v>
      </c>
    </row>
    <row r="19" spans="1:4" x14ac:dyDescent="0.35">
      <c r="A19" s="3" t="s">
        <v>84</v>
      </c>
      <c r="B19" s="14">
        <v>100</v>
      </c>
      <c r="C19" s="30">
        <v>45886</v>
      </c>
      <c r="D19" s="3" t="s">
        <v>388</v>
      </c>
    </row>
    <row r="20" spans="1:4" x14ac:dyDescent="0.35">
      <c r="A20" s="3" t="s">
        <v>85</v>
      </c>
      <c r="B20" s="14">
        <v>5</v>
      </c>
      <c r="C20" s="30">
        <v>45886</v>
      </c>
      <c r="D20" s="3" t="s">
        <v>389</v>
      </c>
    </row>
    <row r="21" spans="1:4" x14ac:dyDescent="0.35">
      <c r="A21" s="3" t="s">
        <v>40</v>
      </c>
      <c r="B21" s="14">
        <v>8927.58</v>
      </c>
      <c r="C21" s="30">
        <v>45894</v>
      </c>
      <c r="D21" s="3" t="s">
        <v>390</v>
      </c>
    </row>
    <row r="22" spans="1:4" x14ac:dyDescent="0.35">
      <c r="A22" s="3" t="s">
        <v>85</v>
      </c>
      <c r="B22" s="14">
        <v>10</v>
      </c>
      <c r="C22" s="30">
        <v>45894</v>
      </c>
      <c r="D22" s="3" t="s">
        <v>391</v>
      </c>
    </row>
    <row r="23" spans="1:4" x14ac:dyDescent="0.35">
      <c r="A23" s="3" t="s">
        <v>87</v>
      </c>
      <c r="B23" s="14">
        <v>1505</v>
      </c>
      <c r="C23" s="30">
        <v>45895</v>
      </c>
      <c r="D23" s="3" t="s">
        <v>392</v>
      </c>
    </row>
    <row r="24" spans="1:4" x14ac:dyDescent="0.35">
      <c r="A24" s="3" t="s">
        <v>87</v>
      </c>
      <c r="B24" s="14">
        <v>1005</v>
      </c>
      <c r="C24" s="30">
        <v>45897</v>
      </c>
      <c r="D24" s="3" t="s">
        <v>392</v>
      </c>
    </row>
    <row r="25" spans="1:4" x14ac:dyDescent="0.35">
      <c r="A25" s="3" t="s">
        <v>59</v>
      </c>
      <c r="B25" s="14">
        <v>-2500</v>
      </c>
      <c r="C25" s="30">
        <v>45904</v>
      </c>
      <c r="D25" s="3" t="s">
        <v>393</v>
      </c>
    </row>
    <row r="26" spans="1:4" x14ac:dyDescent="0.35">
      <c r="A26" s="3" t="s">
        <v>72</v>
      </c>
      <c r="B26" s="14">
        <v>2500</v>
      </c>
      <c r="C26" s="30">
        <v>45904</v>
      </c>
      <c r="D26" s="3" t="s">
        <v>394</v>
      </c>
    </row>
    <row r="27" spans="1:4" x14ac:dyDescent="0.35">
      <c r="A27" s="3" t="s">
        <v>13</v>
      </c>
      <c r="B27" s="14">
        <v>611.00999999999476</v>
      </c>
      <c r="C27" s="30">
        <v>45911</v>
      </c>
      <c r="D27" s="3" t="s">
        <v>395</v>
      </c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425246D-2085-428B-9E87-86785B7F55C3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2196B-04AC-4675-8EF5-F413DE43C90F}">
  <sheetPr codeName="Sheet24"/>
  <dimension ref="A1:G24"/>
  <sheetViews>
    <sheetView zoomScale="151" workbookViewId="0">
      <selection activeCell="D33" sqref="D33"/>
    </sheetView>
  </sheetViews>
  <sheetFormatPr defaultColWidth="9.140625" defaultRowHeight="18" x14ac:dyDescent="0.35"/>
  <cols>
    <col min="1" max="1" width="15.7109375" style="3" bestFit="1" customWidth="1"/>
    <col min="2" max="2" width="12.42578125" style="14" bestFit="1" customWidth="1"/>
    <col min="3" max="3" width="11.85546875" style="3" bestFit="1" customWidth="1"/>
    <col min="4" max="4" width="31.710937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45883</v>
      </c>
    </row>
    <row r="2" spans="1:7" x14ac:dyDescent="0.35">
      <c r="A2" s="3" t="s">
        <v>13</v>
      </c>
      <c r="B2" s="14">
        <v>-646.07000000000005</v>
      </c>
      <c r="C2" s="30">
        <v>45883</v>
      </c>
      <c r="D2" s="3" t="s">
        <v>396</v>
      </c>
    </row>
    <row r="3" spans="1:7" x14ac:dyDescent="0.35">
      <c r="A3" s="3" t="s">
        <v>8</v>
      </c>
      <c r="B3" s="14">
        <v>966.25</v>
      </c>
      <c r="C3" s="30">
        <v>45883</v>
      </c>
      <c r="D3" s="3" t="s">
        <v>397</v>
      </c>
    </row>
    <row r="4" spans="1:7" x14ac:dyDescent="0.35">
      <c r="A4" s="3" t="s">
        <v>11</v>
      </c>
      <c r="B4" s="14">
        <v>550</v>
      </c>
      <c r="C4" s="30">
        <v>45883</v>
      </c>
      <c r="D4" s="3" t="s">
        <v>312</v>
      </c>
    </row>
    <row r="5" spans="1:7" x14ac:dyDescent="0.35">
      <c r="A5" s="3" t="s">
        <v>85</v>
      </c>
      <c r="B5" s="14">
        <v>5</v>
      </c>
      <c r="C5" s="30">
        <v>45883</v>
      </c>
      <c r="D5" s="3" t="s">
        <v>398</v>
      </c>
    </row>
    <row r="6" spans="1:7" x14ac:dyDescent="0.35">
      <c r="A6" s="3" t="s">
        <v>40</v>
      </c>
      <c r="B6" s="14">
        <v>4000</v>
      </c>
      <c r="C6" s="30">
        <v>45883</v>
      </c>
      <c r="D6" s="3" t="s">
        <v>182</v>
      </c>
    </row>
    <row r="7" spans="1:7" x14ac:dyDescent="0.35">
      <c r="A7" s="3" t="s">
        <v>31</v>
      </c>
      <c r="B7" s="14">
        <v>225</v>
      </c>
      <c r="C7" s="30">
        <v>45883</v>
      </c>
      <c r="D7" s="3" t="s">
        <v>399</v>
      </c>
    </row>
    <row r="8" spans="1:7" x14ac:dyDescent="0.35">
      <c r="A8" s="3" t="s">
        <v>31</v>
      </c>
      <c r="B8" s="14">
        <v>420</v>
      </c>
      <c r="C8" s="30">
        <v>45884</v>
      </c>
      <c r="D8" s="3" t="s">
        <v>400</v>
      </c>
    </row>
    <row r="9" spans="1:7" x14ac:dyDescent="0.35">
      <c r="A9" s="3" t="s">
        <v>88</v>
      </c>
      <c r="B9" s="14">
        <v>450</v>
      </c>
      <c r="C9" s="30">
        <v>45885</v>
      </c>
      <c r="D9" s="3" t="s">
        <v>88</v>
      </c>
    </row>
    <row r="10" spans="1:7" x14ac:dyDescent="0.35">
      <c r="A10" s="3" t="s">
        <v>84</v>
      </c>
      <c r="B10" s="14">
        <v>50</v>
      </c>
      <c r="C10" s="30">
        <v>45886</v>
      </c>
      <c r="D10" s="3" t="s">
        <v>401</v>
      </c>
    </row>
    <row r="11" spans="1:7" x14ac:dyDescent="0.35">
      <c r="A11" s="3" t="s">
        <v>85</v>
      </c>
      <c r="B11" s="14">
        <v>5</v>
      </c>
      <c r="C11" s="30">
        <v>45886</v>
      </c>
      <c r="D11" s="3" t="s">
        <v>402</v>
      </c>
    </row>
    <row r="12" spans="1:7" x14ac:dyDescent="0.35">
      <c r="A12" s="3" t="s">
        <v>11</v>
      </c>
      <c r="B12" s="14">
        <v>1000</v>
      </c>
      <c r="C12" s="30">
        <v>45886</v>
      </c>
      <c r="D12" s="3" t="s">
        <v>312</v>
      </c>
    </row>
    <row r="13" spans="1:7" x14ac:dyDescent="0.35">
      <c r="A13" s="3" t="s">
        <v>31</v>
      </c>
      <c r="B13" s="14">
        <v>255</v>
      </c>
      <c r="C13" s="30">
        <v>45886</v>
      </c>
      <c r="D13" s="3" t="s">
        <v>17</v>
      </c>
    </row>
    <row r="14" spans="1:7" x14ac:dyDescent="0.35">
      <c r="A14" s="3" t="s">
        <v>11</v>
      </c>
      <c r="B14" s="14">
        <v>505</v>
      </c>
      <c r="C14" s="30">
        <v>45887</v>
      </c>
      <c r="D14" s="3" t="s">
        <v>312</v>
      </c>
    </row>
    <row r="15" spans="1:7" x14ac:dyDescent="0.35">
      <c r="A15" s="3" t="s">
        <v>11</v>
      </c>
      <c r="B15" s="14">
        <v>1000</v>
      </c>
      <c r="C15" s="30">
        <v>45889</v>
      </c>
      <c r="D15" s="3" t="s">
        <v>312</v>
      </c>
    </row>
    <row r="16" spans="1:7" x14ac:dyDescent="0.35">
      <c r="A16" s="3" t="s">
        <v>93</v>
      </c>
      <c r="B16" s="14">
        <v>18</v>
      </c>
      <c r="C16" s="30">
        <v>45889</v>
      </c>
      <c r="D16" s="3" t="s">
        <v>403</v>
      </c>
    </row>
    <row r="17" spans="1:4" x14ac:dyDescent="0.35">
      <c r="A17" s="3" t="s">
        <v>11</v>
      </c>
      <c r="B17" s="14">
        <v>1000</v>
      </c>
      <c r="C17" s="30">
        <v>45894</v>
      </c>
      <c r="D17" s="3" t="s">
        <v>312</v>
      </c>
    </row>
    <row r="18" spans="1:4" x14ac:dyDescent="0.35">
      <c r="A18" s="3" t="s">
        <v>72</v>
      </c>
      <c r="B18" s="14">
        <v>500</v>
      </c>
      <c r="C18" s="30">
        <v>45897</v>
      </c>
      <c r="D18" s="3" t="s">
        <v>404</v>
      </c>
    </row>
    <row r="19" spans="1:4" x14ac:dyDescent="0.35">
      <c r="A19" s="3" t="s">
        <v>85</v>
      </c>
      <c r="B19" s="14">
        <v>5</v>
      </c>
      <c r="C19" s="30">
        <v>45897</v>
      </c>
      <c r="D19" s="3" t="s">
        <v>383</v>
      </c>
    </row>
    <row r="20" spans="1:4" x14ac:dyDescent="0.35">
      <c r="A20" s="3" t="s">
        <v>13</v>
      </c>
      <c r="B20" s="14">
        <v>131.88999999999942</v>
      </c>
      <c r="C20" s="30">
        <v>45897</v>
      </c>
      <c r="D20" s="3" t="s">
        <v>372</v>
      </c>
    </row>
    <row r="21" spans="1:4" x14ac:dyDescent="0.35">
      <c r="C21" s="30"/>
    </row>
    <row r="22" spans="1:4" x14ac:dyDescent="0.35">
      <c r="C22" s="30"/>
    </row>
    <row r="23" spans="1:4" x14ac:dyDescent="0.35">
      <c r="C23" s="30"/>
    </row>
    <row r="24" spans="1:4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E51441-EE4A-47F0-B67B-14510903B5AB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88027-FC29-4C64-83D6-5B69A1907531}">
  <sheetPr codeName="Sheet25"/>
  <dimension ref="A1:G24"/>
  <sheetViews>
    <sheetView zoomScale="151" workbookViewId="0">
      <selection activeCell="B5" sqref="B5"/>
    </sheetView>
  </sheetViews>
  <sheetFormatPr defaultColWidth="9.140625" defaultRowHeight="18" x14ac:dyDescent="0.35"/>
  <cols>
    <col min="1" max="1" width="15.42578125" style="3" bestFit="1" customWidth="1"/>
    <col min="2" max="2" width="12.42578125" style="14" bestFit="1" customWidth="1"/>
    <col min="3" max="3" width="11.85546875" style="3" bestFit="1" customWidth="1"/>
    <col min="4" max="4" width="30.425781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45897</v>
      </c>
    </row>
    <row r="2" spans="1:7" x14ac:dyDescent="0.35">
      <c r="A2" s="3" t="s">
        <v>13</v>
      </c>
      <c r="B2" s="14">
        <v>-131.88999999999899</v>
      </c>
      <c r="C2" s="30">
        <v>45897</v>
      </c>
      <c r="D2" s="3" t="s">
        <v>405</v>
      </c>
    </row>
    <row r="3" spans="1:7" x14ac:dyDescent="0.35">
      <c r="A3" s="3" t="s">
        <v>40</v>
      </c>
      <c r="B3" s="14">
        <v>4000</v>
      </c>
      <c r="C3" s="30">
        <v>45897</v>
      </c>
      <c r="D3" s="3" t="s">
        <v>406</v>
      </c>
    </row>
    <row r="4" spans="1:7" x14ac:dyDescent="0.35">
      <c r="A4" s="3" t="s">
        <v>8</v>
      </c>
      <c r="B4" s="14">
        <v>1650.91</v>
      </c>
      <c r="C4" s="30">
        <v>45897</v>
      </c>
      <c r="D4" s="3" t="s">
        <v>407</v>
      </c>
    </row>
    <row r="5" spans="1:7" x14ac:dyDescent="0.35">
      <c r="A5" s="3" t="s">
        <v>8</v>
      </c>
      <c r="B5" s="14">
        <v>399</v>
      </c>
      <c r="C5" s="30">
        <v>45897</v>
      </c>
      <c r="D5" s="3" t="s">
        <v>408</v>
      </c>
    </row>
    <row r="6" spans="1:7" x14ac:dyDescent="0.35">
      <c r="A6" s="3" t="s">
        <v>85</v>
      </c>
      <c r="B6" s="14">
        <v>5</v>
      </c>
      <c r="C6" s="30">
        <v>45897</v>
      </c>
      <c r="D6" s="3" t="s">
        <v>409</v>
      </c>
    </row>
    <row r="7" spans="1:7" x14ac:dyDescent="0.35">
      <c r="A7" s="3" t="s">
        <v>11</v>
      </c>
      <c r="B7" s="14">
        <v>1000</v>
      </c>
      <c r="C7" s="30">
        <v>45898</v>
      </c>
      <c r="D7" s="3" t="s">
        <v>312</v>
      </c>
    </row>
    <row r="8" spans="1:7" x14ac:dyDescent="0.35">
      <c r="A8" s="3" t="s">
        <v>11</v>
      </c>
      <c r="B8" s="14">
        <v>1000</v>
      </c>
      <c r="C8" s="30">
        <v>45906</v>
      </c>
      <c r="D8" s="3" t="s">
        <v>312</v>
      </c>
    </row>
    <row r="9" spans="1:7" x14ac:dyDescent="0.35">
      <c r="A9" s="3" t="s">
        <v>72</v>
      </c>
      <c r="B9" s="14">
        <v>2000</v>
      </c>
      <c r="C9" s="30">
        <v>45911</v>
      </c>
      <c r="D9" s="3" t="s">
        <v>410</v>
      </c>
    </row>
    <row r="10" spans="1:7" x14ac:dyDescent="0.35">
      <c r="A10" s="3" t="s">
        <v>13</v>
      </c>
      <c r="B10" s="14">
        <v>3.7199999999993452</v>
      </c>
      <c r="C10" s="30">
        <v>45911</v>
      </c>
      <c r="D10" s="3" t="s">
        <v>411</v>
      </c>
    </row>
    <row r="11" spans="1:7" x14ac:dyDescent="0.35">
      <c r="C11" s="30"/>
    </row>
    <row r="12" spans="1:7" x14ac:dyDescent="0.35">
      <c r="C12" s="30"/>
    </row>
    <row r="13" spans="1:7" x14ac:dyDescent="0.35">
      <c r="C13" s="30"/>
    </row>
    <row r="14" spans="1:7" x14ac:dyDescent="0.35">
      <c r="C14" s="30"/>
    </row>
    <row r="15" spans="1:7" x14ac:dyDescent="0.35">
      <c r="C15" s="30"/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A5164B-0755-4894-976C-02723148EFEE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AAEE4-3F23-4495-A626-369C58E8CBC8}">
  <sheetPr codeName="Sheet26"/>
  <dimension ref="A1:G24"/>
  <sheetViews>
    <sheetView topLeftCell="A10" zoomScale="151" workbookViewId="0">
      <selection activeCell="A25" sqref="A25"/>
    </sheetView>
  </sheetViews>
  <sheetFormatPr defaultColWidth="9.140625" defaultRowHeight="18" x14ac:dyDescent="0.35"/>
  <cols>
    <col min="1" max="1" width="15.7109375" style="3" bestFit="1" customWidth="1"/>
    <col min="2" max="2" width="12.42578125" style="14" bestFit="1" customWidth="1"/>
    <col min="3" max="3" width="11.85546875" style="3" bestFit="1" customWidth="1"/>
    <col min="4" max="4" width="32.710937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45911</v>
      </c>
    </row>
    <row r="2" spans="1:7" x14ac:dyDescent="0.35">
      <c r="A2" s="3" t="s">
        <v>36</v>
      </c>
      <c r="B2" s="14">
        <v>700</v>
      </c>
      <c r="C2" s="30">
        <v>45911</v>
      </c>
      <c r="D2" s="3" t="s">
        <v>412</v>
      </c>
    </row>
    <row r="3" spans="1:7" x14ac:dyDescent="0.35">
      <c r="A3" s="3" t="s">
        <v>11</v>
      </c>
      <c r="B3" s="14">
        <v>300</v>
      </c>
      <c r="C3" s="30">
        <v>45911</v>
      </c>
      <c r="D3" s="3" t="s">
        <v>283</v>
      </c>
    </row>
    <row r="4" spans="1:7" x14ac:dyDescent="0.35">
      <c r="A4" s="3" t="s">
        <v>8</v>
      </c>
      <c r="B4" s="14">
        <v>1966.9</v>
      </c>
      <c r="C4" s="30">
        <v>45911</v>
      </c>
      <c r="D4" s="3" t="s">
        <v>413</v>
      </c>
    </row>
    <row r="5" spans="1:7" x14ac:dyDescent="0.35">
      <c r="A5" s="3" t="s">
        <v>40</v>
      </c>
      <c r="B5" s="14">
        <v>4000</v>
      </c>
      <c r="C5" s="30">
        <v>45911</v>
      </c>
      <c r="D5" s="3" t="s">
        <v>414</v>
      </c>
    </row>
    <row r="6" spans="1:7" x14ac:dyDescent="0.35">
      <c r="A6" s="3" t="s">
        <v>87</v>
      </c>
      <c r="B6" s="14">
        <v>1005</v>
      </c>
      <c r="C6" s="30">
        <v>45911</v>
      </c>
      <c r="D6" s="3" t="s">
        <v>415</v>
      </c>
    </row>
    <row r="7" spans="1:7" x14ac:dyDescent="0.35">
      <c r="A7" s="3" t="s">
        <v>8</v>
      </c>
      <c r="B7" s="14">
        <v>700</v>
      </c>
      <c r="C7" s="30">
        <v>45911</v>
      </c>
      <c r="D7" s="3" t="s">
        <v>416</v>
      </c>
    </row>
    <row r="8" spans="1:7" x14ac:dyDescent="0.35">
      <c r="A8" s="3" t="s">
        <v>13</v>
      </c>
      <c r="B8" s="14">
        <v>-3.71999999999935</v>
      </c>
      <c r="C8" s="30">
        <v>45911</v>
      </c>
      <c r="D8" s="3" t="s">
        <v>417</v>
      </c>
    </row>
    <row r="9" spans="1:7" x14ac:dyDescent="0.35">
      <c r="A9" s="3" t="s">
        <v>13</v>
      </c>
      <c r="B9" s="14">
        <v>-611.00999999999499</v>
      </c>
      <c r="C9" s="30">
        <v>45911</v>
      </c>
      <c r="D9" s="3" t="s">
        <v>418</v>
      </c>
    </row>
    <row r="10" spans="1:7" x14ac:dyDescent="0.35">
      <c r="A10" s="3" t="s">
        <v>85</v>
      </c>
      <c r="B10" s="14">
        <v>5</v>
      </c>
      <c r="C10" s="30">
        <v>45911</v>
      </c>
      <c r="D10" s="3" t="s">
        <v>352</v>
      </c>
    </row>
    <row r="11" spans="1:7" x14ac:dyDescent="0.35">
      <c r="A11" s="3" t="s">
        <v>83</v>
      </c>
      <c r="B11" s="14">
        <v>278.5</v>
      </c>
      <c r="C11" s="30">
        <v>45911</v>
      </c>
      <c r="D11" s="3" t="s">
        <v>419</v>
      </c>
    </row>
    <row r="12" spans="1:7" x14ac:dyDescent="0.35">
      <c r="A12" s="3" t="s">
        <v>87</v>
      </c>
      <c r="B12" s="14">
        <v>2005</v>
      </c>
      <c r="C12" s="30">
        <v>45912</v>
      </c>
      <c r="D12" s="3" t="s">
        <v>415</v>
      </c>
    </row>
    <row r="13" spans="1:7" x14ac:dyDescent="0.35">
      <c r="A13" s="3" t="s">
        <v>37</v>
      </c>
      <c r="B13" s="14">
        <v>1500</v>
      </c>
      <c r="C13" s="30">
        <v>45915</v>
      </c>
      <c r="D13" s="3" t="s">
        <v>420</v>
      </c>
    </row>
    <row r="14" spans="1:7" x14ac:dyDescent="0.35">
      <c r="A14" s="3" t="s">
        <v>11</v>
      </c>
      <c r="B14" s="14">
        <v>1000</v>
      </c>
      <c r="C14" s="30">
        <v>45915</v>
      </c>
      <c r="D14" s="3" t="s">
        <v>283</v>
      </c>
    </row>
    <row r="15" spans="1:7" x14ac:dyDescent="0.35">
      <c r="A15" s="3" t="s">
        <v>52</v>
      </c>
      <c r="B15" s="14">
        <v>305</v>
      </c>
      <c r="C15" s="30">
        <v>45915</v>
      </c>
      <c r="D15" s="3" t="s">
        <v>421</v>
      </c>
    </row>
    <row r="16" spans="1:7" x14ac:dyDescent="0.35">
      <c r="A16" s="3" t="s">
        <v>50</v>
      </c>
      <c r="B16" s="14">
        <v>100</v>
      </c>
      <c r="C16" s="30">
        <v>45915</v>
      </c>
      <c r="D16" s="3" t="s">
        <v>422</v>
      </c>
    </row>
    <row r="17" spans="1:4" x14ac:dyDescent="0.35">
      <c r="A17" s="3" t="s">
        <v>76</v>
      </c>
      <c r="B17" s="14">
        <v>199</v>
      </c>
      <c r="C17" s="30">
        <v>45911</v>
      </c>
      <c r="D17" s="3" t="s">
        <v>371</v>
      </c>
    </row>
    <row r="18" spans="1:4" x14ac:dyDescent="0.35">
      <c r="A18" s="3" t="s">
        <v>87</v>
      </c>
      <c r="B18" s="14">
        <v>-3000</v>
      </c>
      <c r="C18" s="30">
        <v>45925</v>
      </c>
      <c r="D18" s="3" t="s">
        <v>423</v>
      </c>
    </row>
    <row r="19" spans="1:4" x14ac:dyDescent="0.35">
      <c r="A19" s="3" t="s">
        <v>72</v>
      </c>
      <c r="B19" s="14">
        <v>3000</v>
      </c>
      <c r="C19" s="30">
        <v>45925</v>
      </c>
      <c r="D19" s="3" t="s">
        <v>351</v>
      </c>
    </row>
    <row r="20" spans="1:4" x14ac:dyDescent="0.35">
      <c r="A20" s="3" t="s">
        <v>13</v>
      </c>
      <c r="B20" s="14">
        <v>283.21999999999389</v>
      </c>
      <c r="C20" s="30">
        <v>45925</v>
      </c>
      <c r="D20" s="3" t="s">
        <v>372</v>
      </c>
    </row>
    <row r="21" spans="1:4" x14ac:dyDescent="0.35">
      <c r="C21" s="30"/>
    </row>
    <row r="22" spans="1:4" x14ac:dyDescent="0.35">
      <c r="C22" s="30"/>
    </row>
    <row r="23" spans="1:4" x14ac:dyDescent="0.35">
      <c r="C23" s="30"/>
    </row>
    <row r="24" spans="1:4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7DCACC3-F754-4A6A-8A7C-99AAD3AB63AA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6281D-C48B-4FBD-B646-F14B43F4CA33}">
  <sheetPr codeName="Sheet30"/>
  <dimension ref="A1:G28"/>
  <sheetViews>
    <sheetView zoomScale="151" workbookViewId="0">
      <selection activeCell="D29" sqref="D29"/>
    </sheetView>
  </sheetViews>
  <sheetFormatPr defaultColWidth="9.140625" defaultRowHeight="18" x14ac:dyDescent="0.35"/>
  <cols>
    <col min="1" max="1" width="12.5703125" style="3" bestFit="1" customWidth="1"/>
    <col min="2" max="2" width="12.5703125" style="14" bestFit="1" customWidth="1"/>
    <col min="3" max="3" width="11.28515625" style="3" bestFit="1" customWidth="1"/>
    <col min="4" max="4" width="39.425781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45967</v>
      </c>
    </row>
    <row r="2" spans="1:7" x14ac:dyDescent="0.35">
      <c r="A2" s="3" t="s">
        <v>57</v>
      </c>
      <c r="B2" s="14">
        <v>1000</v>
      </c>
      <c r="C2" s="30">
        <v>45968</v>
      </c>
      <c r="D2" s="3" t="s">
        <v>424</v>
      </c>
    </row>
    <row r="3" spans="1:7" x14ac:dyDescent="0.35">
      <c r="A3" s="3" t="s">
        <v>85</v>
      </c>
      <c r="B3" s="14">
        <v>10</v>
      </c>
      <c r="C3" s="30">
        <v>45968</v>
      </c>
      <c r="D3" s="3" t="s">
        <v>304</v>
      </c>
    </row>
    <row r="4" spans="1:7" x14ac:dyDescent="0.35">
      <c r="A4" s="3" t="s">
        <v>87</v>
      </c>
      <c r="B4" s="14">
        <v>6010</v>
      </c>
      <c r="C4" s="30">
        <v>45974</v>
      </c>
      <c r="D4" s="3" t="s">
        <v>425</v>
      </c>
    </row>
    <row r="5" spans="1:7" x14ac:dyDescent="0.35">
      <c r="A5" s="3" t="s">
        <v>87</v>
      </c>
      <c r="B5" s="14">
        <v>1520</v>
      </c>
      <c r="C5" s="30">
        <v>45978</v>
      </c>
      <c r="D5" s="3" t="s">
        <v>426</v>
      </c>
    </row>
    <row r="6" spans="1:7" x14ac:dyDescent="0.35">
      <c r="A6" s="3" t="s">
        <v>78</v>
      </c>
      <c r="B6" s="14">
        <v>2500</v>
      </c>
      <c r="C6" s="30">
        <v>45978</v>
      </c>
      <c r="D6" s="3" t="s">
        <v>427</v>
      </c>
    </row>
    <row r="7" spans="1:7" x14ac:dyDescent="0.35">
      <c r="A7" s="3" t="s">
        <v>87</v>
      </c>
      <c r="B7" s="14">
        <v>3010</v>
      </c>
      <c r="C7" s="30">
        <v>45980</v>
      </c>
      <c r="D7" s="3" t="s">
        <v>428</v>
      </c>
    </row>
    <row r="8" spans="1:7" x14ac:dyDescent="0.35">
      <c r="A8" s="3" t="s">
        <v>59</v>
      </c>
      <c r="B8" s="14">
        <v>-6000</v>
      </c>
      <c r="C8" s="30">
        <v>45981</v>
      </c>
      <c r="D8" s="3" t="s">
        <v>429</v>
      </c>
    </row>
    <row r="9" spans="1:7" x14ac:dyDescent="0.35">
      <c r="A9" s="3" t="s">
        <v>72</v>
      </c>
      <c r="B9" s="14">
        <v>6000</v>
      </c>
      <c r="C9" s="30">
        <v>45981</v>
      </c>
      <c r="D9" s="3" t="s">
        <v>430</v>
      </c>
    </row>
    <row r="10" spans="1:7" x14ac:dyDescent="0.35">
      <c r="A10" s="3" t="s">
        <v>36</v>
      </c>
      <c r="B10" s="14">
        <v>800</v>
      </c>
      <c r="C10" s="30">
        <v>45981</v>
      </c>
      <c r="D10" s="3" t="s">
        <v>431</v>
      </c>
    </row>
    <row r="11" spans="1:7" x14ac:dyDescent="0.35">
      <c r="A11" s="3" t="s">
        <v>57</v>
      </c>
      <c r="B11" s="14">
        <v>510</v>
      </c>
      <c r="C11" s="30">
        <v>45983</v>
      </c>
      <c r="D11" s="3" t="s">
        <v>432</v>
      </c>
    </row>
    <row r="12" spans="1:7" x14ac:dyDescent="0.35">
      <c r="A12" s="3" t="s">
        <v>59</v>
      </c>
      <c r="B12" s="14">
        <v>-4500</v>
      </c>
      <c r="C12" s="30">
        <v>45988</v>
      </c>
      <c r="D12" s="3" t="s">
        <v>433</v>
      </c>
    </row>
    <row r="13" spans="1:7" x14ac:dyDescent="0.35">
      <c r="A13" s="3" t="s">
        <v>72</v>
      </c>
      <c r="B13" s="14">
        <v>4500</v>
      </c>
      <c r="C13" s="30">
        <v>45989</v>
      </c>
      <c r="D13" s="3" t="s">
        <v>430</v>
      </c>
    </row>
    <row r="14" spans="1:7" x14ac:dyDescent="0.35">
      <c r="A14" s="3" t="s">
        <v>87</v>
      </c>
      <c r="B14" s="14">
        <v>3010</v>
      </c>
      <c r="C14" s="30">
        <v>45990</v>
      </c>
      <c r="D14" s="3" t="s">
        <v>434</v>
      </c>
    </row>
    <row r="15" spans="1:7" x14ac:dyDescent="0.35">
      <c r="A15" s="3" t="s">
        <v>59</v>
      </c>
      <c r="B15" s="14">
        <v>-3000</v>
      </c>
      <c r="C15" s="30">
        <v>45997</v>
      </c>
      <c r="D15" s="3" t="s">
        <v>435</v>
      </c>
    </row>
    <row r="16" spans="1:7" x14ac:dyDescent="0.35">
      <c r="A16" s="3" t="s">
        <v>72</v>
      </c>
      <c r="B16" s="14">
        <v>3000</v>
      </c>
      <c r="C16" s="30">
        <v>46001</v>
      </c>
      <c r="D16" s="3" t="s">
        <v>430</v>
      </c>
    </row>
    <row r="17" spans="1:4" x14ac:dyDescent="0.35">
      <c r="A17" s="3" t="s">
        <v>87</v>
      </c>
      <c r="B17" s="14">
        <v>3510</v>
      </c>
      <c r="C17" s="30">
        <v>46001</v>
      </c>
      <c r="D17" s="3" t="s">
        <v>436</v>
      </c>
    </row>
    <row r="18" spans="1:4" x14ac:dyDescent="0.35">
      <c r="A18" s="3" t="s">
        <v>59</v>
      </c>
      <c r="B18" s="14">
        <v>-3500</v>
      </c>
      <c r="C18" s="30">
        <v>46007</v>
      </c>
      <c r="D18" s="3" t="s">
        <v>435</v>
      </c>
    </row>
    <row r="19" spans="1:4" x14ac:dyDescent="0.35">
      <c r="A19" s="3" t="s">
        <v>72</v>
      </c>
      <c r="B19" s="14">
        <v>3500</v>
      </c>
      <c r="C19" s="30">
        <v>46007</v>
      </c>
      <c r="D19" s="3" t="s">
        <v>430</v>
      </c>
    </row>
    <row r="20" spans="1:4" x14ac:dyDescent="0.35">
      <c r="A20" s="3" t="s">
        <v>36</v>
      </c>
      <c r="B20" s="14">
        <v>100</v>
      </c>
      <c r="C20" s="30">
        <v>46014</v>
      </c>
      <c r="D20" s="3" t="s">
        <v>437</v>
      </c>
    </row>
    <row r="21" spans="1:4" x14ac:dyDescent="0.35">
      <c r="A21" s="3" t="s">
        <v>36</v>
      </c>
      <c r="B21" s="14">
        <v>400</v>
      </c>
      <c r="C21" s="30">
        <v>46016</v>
      </c>
      <c r="D21" s="3" t="s">
        <v>438</v>
      </c>
    </row>
    <row r="22" spans="1:4" x14ac:dyDescent="0.35">
      <c r="A22" s="3" t="s">
        <v>87</v>
      </c>
      <c r="B22" s="14">
        <v>1000</v>
      </c>
      <c r="C22" s="30">
        <v>46027</v>
      </c>
      <c r="D22" s="3" t="s">
        <v>439</v>
      </c>
    </row>
    <row r="23" spans="1:4" x14ac:dyDescent="0.35">
      <c r="A23" s="3" t="s">
        <v>65</v>
      </c>
      <c r="B23" s="14">
        <v>2510</v>
      </c>
      <c r="C23" s="30">
        <v>45672</v>
      </c>
      <c r="D23" s="3" t="s">
        <v>440</v>
      </c>
    </row>
    <row r="24" spans="1:4" x14ac:dyDescent="0.35">
      <c r="A24" s="3" t="s">
        <v>72</v>
      </c>
      <c r="B24" s="14">
        <v>2000</v>
      </c>
      <c r="C24" s="30">
        <v>45672</v>
      </c>
      <c r="D24" s="3" t="s">
        <v>72</v>
      </c>
    </row>
    <row r="25" spans="1:4" x14ac:dyDescent="0.35">
      <c r="A25" s="3" t="s">
        <v>13</v>
      </c>
      <c r="B25" s="14">
        <v>41.42</v>
      </c>
      <c r="C25" s="30">
        <v>45672</v>
      </c>
      <c r="D25" s="3" t="s">
        <v>441</v>
      </c>
    </row>
    <row r="26" spans="1:4" x14ac:dyDescent="0.35">
      <c r="A26" s="3" t="s">
        <v>72</v>
      </c>
      <c r="B26" s="14">
        <v>2500</v>
      </c>
      <c r="C26" s="30">
        <v>45672</v>
      </c>
      <c r="D26" s="3" t="s">
        <v>442</v>
      </c>
    </row>
    <row r="27" spans="1:4" x14ac:dyDescent="0.35">
      <c r="A27" s="3" t="s">
        <v>59</v>
      </c>
      <c r="B27" s="14">
        <v>-2000</v>
      </c>
      <c r="C27" s="30">
        <v>46038</v>
      </c>
      <c r="D27" s="3" t="s">
        <v>435</v>
      </c>
    </row>
    <row r="28" spans="1:4" x14ac:dyDescent="0.35">
      <c r="A28" s="3" t="s">
        <v>72</v>
      </c>
      <c r="B28" s="14">
        <v>2000</v>
      </c>
      <c r="C28" s="30">
        <v>46038</v>
      </c>
      <c r="D28" s="3" t="s">
        <v>430</v>
      </c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C96B265-8720-4E5D-9D49-2EEA7AEFBCCE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82522-8C02-4A87-84AD-C27FF897D198}">
  <sheetPr codeName="Sheet27"/>
  <dimension ref="A1:G24"/>
  <sheetViews>
    <sheetView topLeftCell="I14" zoomScale="151" workbookViewId="0">
      <selection activeCell="I14" sqref="I14"/>
    </sheetView>
  </sheetViews>
  <sheetFormatPr defaultColWidth="9.140625" defaultRowHeight="18" x14ac:dyDescent="0.35"/>
  <cols>
    <col min="1" max="1" width="15.7109375" style="3" bestFit="1" customWidth="1"/>
    <col min="2" max="2" width="11.7109375" style="14" bestFit="1" customWidth="1"/>
    <col min="3" max="3" width="11.85546875" style="3" bestFit="1" customWidth="1"/>
    <col min="4" max="4" width="26.8554687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45925</v>
      </c>
    </row>
    <row r="2" spans="1:7" x14ac:dyDescent="0.35">
      <c r="A2" s="3" t="s">
        <v>13</v>
      </c>
      <c r="B2" s="14">
        <v>-283.219999999994</v>
      </c>
      <c r="C2" s="30">
        <v>45925</v>
      </c>
      <c r="D2" s="3" t="s">
        <v>443</v>
      </c>
    </row>
    <row r="3" spans="1:7" x14ac:dyDescent="0.35">
      <c r="A3" s="3" t="s">
        <v>40</v>
      </c>
      <c r="B3" s="14">
        <v>4000</v>
      </c>
      <c r="C3" s="30">
        <v>45925</v>
      </c>
      <c r="D3" s="3" t="s">
        <v>401</v>
      </c>
    </row>
    <row r="4" spans="1:7" x14ac:dyDescent="0.35">
      <c r="A4" s="3" t="s">
        <v>8</v>
      </c>
      <c r="B4" s="14">
        <v>4374.99</v>
      </c>
      <c r="C4" s="30">
        <v>45925</v>
      </c>
      <c r="D4" s="3" t="s">
        <v>444</v>
      </c>
    </row>
    <row r="5" spans="1:7" x14ac:dyDescent="0.35">
      <c r="A5" s="3" t="s">
        <v>72</v>
      </c>
      <c r="B5" s="14">
        <v>173.17</v>
      </c>
      <c r="C5" s="30">
        <v>45925</v>
      </c>
      <c r="D5" s="3" t="s">
        <v>72</v>
      </c>
    </row>
    <row r="6" spans="1:7" x14ac:dyDescent="0.35">
      <c r="A6" s="3" t="s">
        <v>79</v>
      </c>
      <c r="B6" s="14">
        <v>0.6</v>
      </c>
      <c r="C6" s="30">
        <v>45930</v>
      </c>
      <c r="D6" s="3" t="s">
        <v>445</v>
      </c>
    </row>
    <row r="7" spans="1:7" x14ac:dyDescent="0.35">
      <c r="A7" s="3" t="s">
        <v>41</v>
      </c>
      <c r="B7" s="14">
        <v>-2.98</v>
      </c>
      <c r="C7" s="30">
        <v>45930</v>
      </c>
      <c r="D7" s="3" t="s">
        <v>446</v>
      </c>
    </row>
    <row r="8" spans="1:7" x14ac:dyDescent="0.35">
      <c r="A8" s="3" t="s">
        <v>15</v>
      </c>
      <c r="B8" s="14">
        <v>500</v>
      </c>
      <c r="C8" s="30">
        <v>45932</v>
      </c>
      <c r="D8" s="3" t="s">
        <v>447</v>
      </c>
    </row>
    <row r="9" spans="1:7" x14ac:dyDescent="0.35">
      <c r="A9" s="3" t="s">
        <v>11</v>
      </c>
      <c r="B9" s="14">
        <v>1000</v>
      </c>
      <c r="C9" s="30">
        <v>45933</v>
      </c>
      <c r="D9" s="3" t="s">
        <v>312</v>
      </c>
    </row>
    <row r="10" spans="1:7" x14ac:dyDescent="0.35">
      <c r="A10" s="3" t="s">
        <v>85</v>
      </c>
      <c r="B10" s="14">
        <v>20</v>
      </c>
      <c r="C10" s="30">
        <v>45933</v>
      </c>
      <c r="D10" s="3" t="s">
        <v>448</v>
      </c>
    </row>
    <row r="11" spans="1:7" x14ac:dyDescent="0.35">
      <c r="A11" s="3" t="s">
        <v>13</v>
      </c>
      <c r="B11" s="14">
        <v>144.17999999999302</v>
      </c>
      <c r="C11" s="30">
        <v>45939</v>
      </c>
      <c r="D11" s="3" t="s">
        <v>449</v>
      </c>
    </row>
    <row r="12" spans="1:7" x14ac:dyDescent="0.35">
      <c r="C12" s="30"/>
    </row>
    <row r="13" spans="1:7" x14ac:dyDescent="0.35">
      <c r="C13" s="30"/>
    </row>
    <row r="14" spans="1:7" x14ac:dyDescent="0.35">
      <c r="C14" s="30"/>
    </row>
    <row r="15" spans="1:7" x14ac:dyDescent="0.35">
      <c r="C15" s="30"/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2D1E97-B1A2-4795-AD73-24B2A2500383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DA07-F0BA-41A3-B899-E65CBB835657}">
  <sheetPr codeName="Sheet28"/>
  <dimension ref="A1:G24"/>
  <sheetViews>
    <sheetView topLeftCell="A7" zoomScale="151" workbookViewId="0">
      <selection activeCell="A15" sqref="A15"/>
    </sheetView>
  </sheetViews>
  <sheetFormatPr defaultColWidth="9.140625" defaultRowHeight="18" x14ac:dyDescent="0.35"/>
  <cols>
    <col min="1" max="1" width="11.28515625" style="3" customWidth="1"/>
    <col min="2" max="2" width="11.7109375" style="14" bestFit="1" customWidth="1"/>
    <col min="3" max="3" width="11.42578125" style="3" bestFit="1" customWidth="1"/>
    <col min="4" max="4" width="47.57031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45939</v>
      </c>
    </row>
    <row r="2" spans="1:7" x14ac:dyDescent="0.35">
      <c r="A2" s="3" t="s">
        <v>13</v>
      </c>
      <c r="B2" s="14">
        <v>-144.17999999999299</v>
      </c>
      <c r="C2" s="30">
        <v>45939</v>
      </c>
      <c r="D2" s="3" t="s">
        <v>450</v>
      </c>
    </row>
    <row r="3" spans="1:7" x14ac:dyDescent="0.35">
      <c r="A3" s="3" t="s">
        <v>40</v>
      </c>
      <c r="B3" s="14">
        <v>4000</v>
      </c>
      <c r="C3" s="30">
        <v>45939</v>
      </c>
      <c r="D3" s="3" t="s">
        <v>451</v>
      </c>
    </row>
    <row r="4" spans="1:7" x14ac:dyDescent="0.35">
      <c r="A4" s="3" t="s">
        <v>8</v>
      </c>
      <c r="B4" s="14">
        <v>2163.1</v>
      </c>
      <c r="C4" s="30">
        <v>45939</v>
      </c>
      <c r="D4" s="3" t="s">
        <v>452</v>
      </c>
    </row>
    <row r="5" spans="1:7" x14ac:dyDescent="0.35">
      <c r="A5" s="3" t="s">
        <v>34</v>
      </c>
      <c r="B5" s="14">
        <v>500</v>
      </c>
      <c r="C5" s="30">
        <v>45940</v>
      </c>
      <c r="D5" s="3" t="s">
        <v>453</v>
      </c>
    </row>
    <row r="6" spans="1:7" x14ac:dyDescent="0.35">
      <c r="A6" s="3" t="s">
        <v>85</v>
      </c>
      <c r="B6" s="14">
        <v>10</v>
      </c>
      <c r="C6" s="30">
        <v>45940</v>
      </c>
      <c r="D6" s="3" t="s">
        <v>454</v>
      </c>
    </row>
    <row r="7" spans="1:7" x14ac:dyDescent="0.35">
      <c r="A7" s="3" t="s">
        <v>92</v>
      </c>
      <c r="B7" s="14">
        <v>1000</v>
      </c>
      <c r="C7" s="30">
        <v>45940</v>
      </c>
      <c r="D7" s="3" t="s">
        <v>312</v>
      </c>
    </row>
    <row r="8" spans="1:7" x14ac:dyDescent="0.35">
      <c r="A8" s="3" t="s">
        <v>85</v>
      </c>
      <c r="B8" s="14">
        <v>5</v>
      </c>
      <c r="C8" s="30">
        <v>45941</v>
      </c>
      <c r="D8" s="3" t="s">
        <v>455</v>
      </c>
    </row>
    <row r="9" spans="1:7" x14ac:dyDescent="0.35">
      <c r="A9" s="3" t="s">
        <v>76</v>
      </c>
      <c r="B9" s="14">
        <v>229</v>
      </c>
      <c r="C9" s="30">
        <v>45941</v>
      </c>
      <c r="D9" s="3" t="s">
        <v>371</v>
      </c>
    </row>
    <row r="10" spans="1:7" x14ac:dyDescent="0.35">
      <c r="A10" s="3" t="s">
        <v>17</v>
      </c>
      <c r="B10" s="14">
        <v>110</v>
      </c>
      <c r="C10" s="30">
        <v>45943</v>
      </c>
      <c r="D10" s="3" t="s">
        <v>456</v>
      </c>
    </row>
    <row r="11" spans="1:7" x14ac:dyDescent="0.35">
      <c r="A11" s="3" t="s">
        <v>87</v>
      </c>
      <c r="B11" s="14">
        <v>1510</v>
      </c>
      <c r="C11" s="30">
        <v>45944</v>
      </c>
      <c r="D11" s="3" t="s">
        <v>457</v>
      </c>
    </row>
    <row r="12" spans="1:7" x14ac:dyDescent="0.35">
      <c r="A12" s="3" t="s">
        <v>92</v>
      </c>
      <c r="B12" s="14">
        <v>500</v>
      </c>
      <c r="C12" s="30">
        <v>45946</v>
      </c>
      <c r="D12" s="3" t="s">
        <v>458</v>
      </c>
    </row>
    <row r="13" spans="1:7" x14ac:dyDescent="0.35">
      <c r="A13" s="3" t="s">
        <v>87</v>
      </c>
      <c r="B13" s="14">
        <v>1510</v>
      </c>
      <c r="C13" s="30">
        <v>45951</v>
      </c>
      <c r="D13" s="3" t="s">
        <v>459</v>
      </c>
    </row>
    <row r="14" spans="1:7" x14ac:dyDescent="0.35">
      <c r="A14" s="3" t="s">
        <v>13</v>
      </c>
      <c r="B14" s="14">
        <v>462.15999999999258</v>
      </c>
      <c r="C14" s="30">
        <v>45953</v>
      </c>
      <c r="D14" s="3" t="s">
        <v>460</v>
      </c>
    </row>
    <row r="15" spans="1:7" x14ac:dyDescent="0.35">
      <c r="C15" s="30"/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1A3992-343A-425D-B0EF-6335E7FD67D7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BFEAC-5E0B-47C0-88D6-A37A9EAD6825}">
  <sheetPr codeName="Sheet29"/>
  <dimension ref="A1:G24"/>
  <sheetViews>
    <sheetView zoomScale="151" workbookViewId="0">
      <selection activeCell="A7" sqref="A7"/>
    </sheetView>
  </sheetViews>
  <sheetFormatPr defaultColWidth="9.140625" defaultRowHeight="18" x14ac:dyDescent="0.35"/>
  <cols>
    <col min="1" max="1" width="14.85546875" style="3" bestFit="1" customWidth="1"/>
    <col min="2" max="2" width="11.7109375" style="14" bestFit="1" customWidth="1"/>
    <col min="3" max="3" width="11.42578125" style="3" bestFit="1" customWidth="1"/>
    <col min="4" max="4" width="26.8554687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45953</v>
      </c>
    </row>
    <row r="2" spans="1:7" x14ac:dyDescent="0.35">
      <c r="A2" s="3" t="s">
        <v>13</v>
      </c>
      <c r="B2" s="14">
        <v>-462.15999999999298</v>
      </c>
      <c r="C2" s="30">
        <v>45953</v>
      </c>
      <c r="D2" s="3" t="s">
        <v>461</v>
      </c>
    </row>
    <row r="3" spans="1:7" x14ac:dyDescent="0.35">
      <c r="A3" s="3" t="s">
        <v>40</v>
      </c>
      <c r="B3" s="14">
        <v>4000</v>
      </c>
      <c r="C3" s="30">
        <v>45953</v>
      </c>
      <c r="D3" s="3" t="s">
        <v>462</v>
      </c>
    </row>
    <row r="4" spans="1:7" x14ac:dyDescent="0.35">
      <c r="A4" s="3" t="s">
        <v>8</v>
      </c>
      <c r="B4" s="14">
        <v>3498.14</v>
      </c>
      <c r="C4" s="30">
        <v>45953</v>
      </c>
      <c r="D4" s="3" t="s">
        <v>463</v>
      </c>
    </row>
    <row r="5" spans="1:7" x14ac:dyDescent="0.35">
      <c r="A5" s="3" t="s">
        <v>83</v>
      </c>
      <c r="B5" s="14">
        <v>600</v>
      </c>
      <c r="C5" s="30">
        <v>45953</v>
      </c>
      <c r="D5" s="3" t="s">
        <v>464</v>
      </c>
    </row>
    <row r="6" spans="1:7" x14ac:dyDescent="0.35">
      <c r="A6" s="3" t="s">
        <v>85</v>
      </c>
      <c r="B6" s="14">
        <v>5</v>
      </c>
      <c r="C6" s="30">
        <v>45953</v>
      </c>
      <c r="D6" s="3" t="s">
        <v>465</v>
      </c>
    </row>
    <row r="7" spans="1:7" x14ac:dyDescent="0.35">
      <c r="A7" s="3" t="s">
        <v>10</v>
      </c>
      <c r="B7" s="14">
        <v>1083.25</v>
      </c>
      <c r="C7" s="30">
        <v>45954</v>
      </c>
      <c r="D7" s="3" t="s">
        <v>466</v>
      </c>
    </row>
    <row r="8" spans="1:7" x14ac:dyDescent="0.35">
      <c r="A8" s="3" t="s">
        <v>55</v>
      </c>
      <c r="B8" s="14">
        <v>281.79000000000002</v>
      </c>
      <c r="C8" s="30">
        <v>45954</v>
      </c>
      <c r="D8" s="3" t="s">
        <v>467</v>
      </c>
    </row>
    <row r="9" spans="1:7" x14ac:dyDescent="0.35">
      <c r="A9" s="3" t="s">
        <v>84</v>
      </c>
      <c r="B9" s="14">
        <v>900</v>
      </c>
      <c r="C9" s="30">
        <v>45961</v>
      </c>
      <c r="D9" s="3" t="s">
        <v>312</v>
      </c>
    </row>
    <row r="10" spans="1:7" x14ac:dyDescent="0.35">
      <c r="A10" s="3" t="s">
        <v>85</v>
      </c>
      <c r="B10" s="14">
        <v>10</v>
      </c>
      <c r="C10" s="30">
        <v>45961</v>
      </c>
      <c r="D10" s="3" t="s">
        <v>468</v>
      </c>
    </row>
    <row r="11" spans="1:7" x14ac:dyDescent="0.35">
      <c r="A11" s="3" t="s">
        <v>13</v>
      </c>
      <c r="B11" s="14">
        <v>10.72</v>
      </c>
      <c r="C11" s="30">
        <v>45967</v>
      </c>
      <c r="D11" s="3" t="s">
        <v>372</v>
      </c>
    </row>
    <row r="12" spans="1:7" x14ac:dyDescent="0.35">
      <c r="C12" s="30"/>
    </row>
    <row r="13" spans="1:7" x14ac:dyDescent="0.35">
      <c r="C13" s="30"/>
    </row>
    <row r="14" spans="1:7" x14ac:dyDescent="0.35">
      <c r="C14" s="30"/>
    </row>
    <row r="15" spans="1:7" x14ac:dyDescent="0.35">
      <c r="C15" s="30"/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FB2254-C99E-4772-98F1-0901146FC3E0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9CF8E-AA09-4A6E-91FB-F2E17A6438F9}">
  <sheetPr codeName="Sheet34"/>
  <dimension ref="A1:G24"/>
  <sheetViews>
    <sheetView topLeftCell="A4" zoomScale="151" workbookViewId="0">
      <selection activeCell="B16" sqref="B16"/>
    </sheetView>
  </sheetViews>
  <sheetFormatPr defaultColWidth="9.140625" defaultRowHeight="18" x14ac:dyDescent="0.35"/>
  <cols>
    <col min="1" max="1" width="11.28515625" style="3" customWidth="1"/>
    <col min="2" max="2" width="12" style="14" bestFit="1" customWidth="1"/>
    <col min="3" max="3" width="11.42578125" style="3" bestFit="1" customWidth="1"/>
    <col min="4" max="4" width="38.285156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45995</v>
      </c>
    </row>
    <row r="2" spans="1:7" x14ac:dyDescent="0.35">
      <c r="A2" s="3" t="s">
        <v>23</v>
      </c>
      <c r="B2" s="14">
        <v>1195</v>
      </c>
      <c r="C2" s="30">
        <v>45999</v>
      </c>
      <c r="D2" s="3" t="s">
        <v>469</v>
      </c>
    </row>
    <row r="3" spans="1:7" x14ac:dyDescent="0.35">
      <c r="A3" s="3" t="s">
        <v>15</v>
      </c>
      <c r="B3" s="14">
        <v>860</v>
      </c>
      <c r="C3" s="30">
        <v>46002</v>
      </c>
      <c r="D3" s="3" t="s">
        <v>470</v>
      </c>
    </row>
    <row r="4" spans="1:7" x14ac:dyDescent="0.35">
      <c r="A4" s="3" t="s">
        <v>36</v>
      </c>
      <c r="B4" s="14">
        <v>610</v>
      </c>
      <c r="C4" s="30">
        <v>46002</v>
      </c>
      <c r="D4" s="3" t="s">
        <v>471</v>
      </c>
    </row>
    <row r="5" spans="1:7" x14ac:dyDescent="0.35">
      <c r="A5" s="3" t="s">
        <v>59</v>
      </c>
      <c r="B5" s="14">
        <v>400</v>
      </c>
      <c r="C5" s="30">
        <v>46002</v>
      </c>
      <c r="D5" s="3" t="s">
        <v>472</v>
      </c>
    </row>
    <row r="6" spans="1:7" x14ac:dyDescent="0.35">
      <c r="A6" s="3" t="s">
        <v>36</v>
      </c>
      <c r="B6" s="14">
        <v>2580</v>
      </c>
      <c r="C6" s="30">
        <v>46004</v>
      </c>
      <c r="D6" s="3" t="s">
        <v>473</v>
      </c>
    </row>
    <row r="7" spans="1:7" x14ac:dyDescent="0.35">
      <c r="A7" s="3" t="s">
        <v>31</v>
      </c>
      <c r="B7" s="14">
        <v>370</v>
      </c>
      <c r="C7" s="30">
        <v>46006</v>
      </c>
      <c r="D7" s="3" t="s">
        <v>474</v>
      </c>
    </row>
    <row r="8" spans="1:7" x14ac:dyDescent="0.35">
      <c r="A8" s="3" t="s">
        <v>36</v>
      </c>
      <c r="B8" s="14">
        <v>300</v>
      </c>
      <c r="C8" s="30">
        <v>46008</v>
      </c>
      <c r="D8" s="3" t="s">
        <v>475</v>
      </c>
    </row>
    <row r="9" spans="1:7" x14ac:dyDescent="0.35">
      <c r="A9" s="3" t="s">
        <v>36</v>
      </c>
      <c r="B9" s="14">
        <v>1000</v>
      </c>
      <c r="C9" s="30">
        <v>46009</v>
      </c>
      <c r="D9" s="3" t="s">
        <v>476</v>
      </c>
    </row>
    <row r="10" spans="1:7" x14ac:dyDescent="0.35">
      <c r="A10" s="3" t="s">
        <v>36</v>
      </c>
      <c r="B10" s="14">
        <v>500</v>
      </c>
      <c r="C10" s="30">
        <v>46012</v>
      </c>
      <c r="D10" s="3" t="s">
        <v>477</v>
      </c>
    </row>
    <row r="11" spans="1:7" x14ac:dyDescent="0.35">
      <c r="A11" s="3" t="s">
        <v>36</v>
      </c>
      <c r="B11" s="14">
        <v>1010</v>
      </c>
      <c r="C11" s="30">
        <v>46013</v>
      </c>
      <c r="D11" s="3" t="s">
        <v>478</v>
      </c>
    </row>
    <row r="12" spans="1:7" x14ac:dyDescent="0.35">
      <c r="A12" s="3" t="s">
        <v>92</v>
      </c>
      <c r="B12" s="14">
        <v>11000</v>
      </c>
      <c r="C12" s="30">
        <v>46014</v>
      </c>
      <c r="D12" s="3" t="s">
        <v>479</v>
      </c>
    </row>
    <row r="13" spans="1:7" x14ac:dyDescent="0.35">
      <c r="A13" s="3" t="s">
        <v>36</v>
      </c>
      <c r="B13" s="14">
        <v>200</v>
      </c>
      <c r="C13" s="30">
        <v>46016</v>
      </c>
      <c r="D13" s="3" t="s">
        <v>480</v>
      </c>
    </row>
    <row r="14" spans="1:7" x14ac:dyDescent="0.35">
      <c r="A14" s="3" t="s">
        <v>59</v>
      </c>
      <c r="B14" s="14">
        <v>-11000</v>
      </c>
      <c r="C14" s="30">
        <v>46017</v>
      </c>
      <c r="D14" s="3" t="s">
        <v>481</v>
      </c>
    </row>
    <row r="15" spans="1:7" x14ac:dyDescent="0.35">
      <c r="A15" s="3" t="s">
        <v>72</v>
      </c>
      <c r="B15" s="14">
        <v>10000</v>
      </c>
      <c r="C15" s="30">
        <v>45672</v>
      </c>
      <c r="D15" s="3" t="s">
        <v>482</v>
      </c>
    </row>
    <row r="16" spans="1:7" x14ac:dyDescent="0.35">
      <c r="A16" s="3" t="s">
        <v>13</v>
      </c>
      <c r="B16" s="14">
        <v>366.84000000000015</v>
      </c>
      <c r="C16" s="30">
        <v>45672</v>
      </c>
      <c r="D16" s="3" t="s">
        <v>483</v>
      </c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72D887-11FB-4A0E-88D3-1930FFC3B856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BD44A-EB89-44D2-958C-45A5CDD9595C}">
  <sheetPr codeName="Sheet31"/>
  <dimension ref="A1:G24"/>
  <sheetViews>
    <sheetView zoomScale="151" workbookViewId="0">
      <selection activeCell="C14" sqref="C14"/>
    </sheetView>
  </sheetViews>
  <sheetFormatPr defaultColWidth="9.140625" defaultRowHeight="18" x14ac:dyDescent="0.35"/>
  <cols>
    <col min="1" max="1" width="15.7109375" style="3" bestFit="1" customWidth="1"/>
    <col min="2" max="2" width="11.7109375" style="14" bestFit="1" customWidth="1"/>
    <col min="3" max="3" width="11" style="3" bestFit="1" customWidth="1"/>
    <col min="4" max="4" width="29.710937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45967</v>
      </c>
    </row>
    <row r="2" spans="1:7" x14ac:dyDescent="0.35">
      <c r="A2" s="3" t="s">
        <v>13</v>
      </c>
      <c r="B2" s="14">
        <v>-10.72</v>
      </c>
      <c r="C2" s="30">
        <v>45967</v>
      </c>
      <c r="D2" s="3" t="s">
        <v>405</v>
      </c>
    </row>
    <row r="3" spans="1:7" x14ac:dyDescent="0.35">
      <c r="A3" s="3" t="s">
        <v>40</v>
      </c>
      <c r="B3" s="14">
        <v>4000</v>
      </c>
      <c r="C3" s="30">
        <v>45967</v>
      </c>
      <c r="D3" s="3" t="s">
        <v>484</v>
      </c>
    </row>
    <row r="4" spans="1:7" x14ac:dyDescent="0.35">
      <c r="A4" s="3" t="s">
        <v>8</v>
      </c>
      <c r="B4" s="14">
        <v>3119.03</v>
      </c>
      <c r="C4" s="30">
        <v>45967</v>
      </c>
      <c r="D4" s="3" t="s">
        <v>485</v>
      </c>
    </row>
    <row r="5" spans="1:7" x14ac:dyDescent="0.35">
      <c r="A5" s="3" t="s">
        <v>37</v>
      </c>
      <c r="B5" s="14">
        <v>1404.05</v>
      </c>
      <c r="C5" s="30">
        <v>45967</v>
      </c>
      <c r="D5" s="3" t="s">
        <v>486</v>
      </c>
    </row>
    <row r="6" spans="1:7" x14ac:dyDescent="0.35">
      <c r="A6" s="3" t="s">
        <v>85</v>
      </c>
      <c r="B6" s="14">
        <v>5</v>
      </c>
      <c r="C6" s="30">
        <v>45967</v>
      </c>
      <c r="D6" s="3" t="s">
        <v>409</v>
      </c>
    </row>
    <row r="7" spans="1:7" x14ac:dyDescent="0.35">
      <c r="A7" s="3" t="s">
        <v>11</v>
      </c>
      <c r="B7" s="14">
        <v>1000</v>
      </c>
      <c r="C7" s="30">
        <v>45972</v>
      </c>
      <c r="D7" s="3" t="s">
        <v>312</v>
      </c>
    </row>
    <row r="8" spans="1:7" x14ac:dyDescent="0.35">
      <c r="A8" s="3" t="s">
        <v>93</v>
      </c>
      <c r="B8" s="14">
        <v>18</v>
      </c>
      <c r="C8" s="30">
        <v>45972</v>
      </c>
      <c r="D8" s="3" t="s">
        <v>487</v>
      </c>
    </row>
    <row r="9" spans="1:7" x14ac:dyDescent="0.35">
      <c r="A9" s="3" t="s">
        <v>76</v>
      </c>
      <c r="B9" s="14">
        <v>232.44</v>
      </c>
      <c r="C9" s="30">
        <v>45972</v>
      </c>
      <c r="D9" s="3" t="s">
        <v>488</v>
      </c>
    </row>
    <row r="10" spans="1:7" x14ac:dyDescent="0.35">
      <c r="A10" s="3" t="s">
        <v>11</v>
      </c>
      <c r="B10" s="14">
        <v>250</v>
      </c>
      <c r="C10" s="30">
        <v>45975</v>
      </c>
      <c r="D10" s="3" t="s">
        <v>489</v>
      </c>
    </row>
    <row r="11" spans="1:7" x14ac:dyDescent="0.35">
      <c r="A11" s="3" t="s">
        <v>17</v>
      </c>
      <c r="B11" s="14">
        <v>170</v>
      </c>
      <c r="C11" s="30">
        <v>45976</v>
      </c>
      <c r="D11" s="3" t="s">
        <v>490</v>
      </c>
    </row>
    <row r="12" spans="1:7" x14ac:dyDescent="0.35">
      <c r="A12" s="3" t="s">
        <v>3</v>
      </c>
      <c r="B12" s="14">
        <v>190</v>
      </c>
      <c r="C12" s="30">
        <v>45976</v>
      </c>
      <c r="D12" s="3" t="s">
        <v>491</v>
      </c>
    </row>
    <row r="13" spans="1:7" x14ac:dyDescent="0.35">
      <c r="A13" s="3" t="s">
        <v>13</v>
      </c>
      <c r="B13" s="14">
        <v>62.27</v>
      </c>
      <c r="C13" s="30">
        <v>45981</v>
      </c>
      <c r="D13" s="3" t="s">
        <v>372</v>
      </c>
    </row>
    <row r="14" spans="1:7" x14ac:dyDescent="0.35">
      <c r="C14" s="30"/>
    </row>
    <row r="15" spans="1:7" x14ac:dyDescent="0.35">
      <c r="C15" s="30"/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6BC733-494D-4BBF-A2E2-74F5B842A271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1A2C-23C8-460D-BF9D-95E9381A5130}">
  <sheetPr codeName="Sheet32"/>
  <dimension ref="A1:G24"/>
  <sheetViews>
    <sheetView zoomScale="151" workbookViewId="0">
      <selection activeCell="D25" sqref="D25"/>
    </sheetView>
  </sheetViews>
  <sheetFormatPr defaultColWidth="9.140625" defaultRowHeight="18" x14ac:dyDescent="0.35"/>
  <cols>
    <col min="1" max="1" width="15.7109375" style="3" bestFit="1" customWidth="1"/>
    <col min="2" max="2" width="12.28515625" style="14" bestFit="1" customWidth="1"/>
    <col min="3" max="3" width="11" style="3" bestFit="1" customWidth="1"/>
    <col min="4" max="4" width="38.285156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45981</v>
      </c>
    </row>
    <row r="2" spans="1:7" x14ac:dyDescent="0.35">
      <c r="A2" s="3" t="s">
        <v>13</v>
      </c>
      <c r="B2" s="14">
        <v>-62.27</v>
      </c>
      <c r="C2" s="30">
        <v>45981</v>
      </c>
      <c r="D2" s="3" t="s">
        <v>405</v>
      </c>
    </row>
    <row r="3" spans="1:7" x14ac:dyDescent="0.35">
      <c r="A3" s="3" t="s">
        <v>40</v>
      </c>
      <c r="B3" s="14">
        <v>4000</v>
      </c>
      <c r="C3" s="30">
        <v>45981</v>
      </c>
      <c r="D3" s="3" t="s">
        <v>492</v>
      </c>
    </row>
    <row r="4" spans="1:7" x14ac:dyDescent="0.35">
      <c r="A4" s="3" t="s">
        <v>8</v>
      </c>
      <c r="B4" s="14">
        <v>3427.53</v>
      </c>
      <c r="C4" s="30">
        <v>45981</v>
      </c>
      <c r="D4" s="3" t="s">
        <v>493</v>
      </c>
    </row>
    <row r="5" spans="1:7" x14ac:dyDescent="0.35">
      <c r="A5" s="3" t="s">
        <v>10</v>
      </c>
      <c r="B5" s="14">
        <v>1702.04</v>
      </c>
      <c r="C5" s="30">
        <v>45981</v>
      </c>
      <c r="D5" s="3" t="s">
        <v>494</v>
      </c>
    </row>
    <row r="6" spans="1:7" x14ac:dyDescent="0.35">
      <c r="A6" s="3" t="s">
        <v>11</v>
      </c>
      <c r="B6" s="14">
        <v>500</v>
      </c>
      <c r="C6" s="30">
        <v>45981</v>
      </c>
      <c r="D6" s="3" t="s">
        <v>312</v>
      </c>
    </row>
    <row r="7" spans="1:7" x14ac:dyDescent="0.35">
      <c r="A7" s="3" t="s">
        <v>78</v>
      </c>
      <c r="B7" s="14">
        <v>673.17</v>
      </c>
      <c r="C7" s="30">
        <v>45981</v>
      </c>
      <c r="D7" s="3" t="s">
        <v>495</v>
      </c>
    </row>
    <row r="8" spans="1:7" x14ac:dyDescent="0.35">
      <c r="A8" s="3" t="s">
        <v>85</v>
      </c>
      <c r="B8" s="14">
        <v>5</v>
      </c>
      <c r="C8" s="30">
        <v>45981</v>
      </c>
      <c r="D8" s="3" t="s">
        <v>496</v>
      </c>
    </row>
    <row r="9" spans="1:7" x14ac:dyDescent="0.35">
      <c r="A9" s="3" t="s">
        <v>87</v>
      </c>
      <c r="B9" s="14">
        <v>616.83000000000004</v>
      </c>
      <c r="C9" s="30">
        <v>45981</v>
      </c>
      <c r="D9" s="3" t="s">
        <v>497</v>
      </c>
    </row>
    <row r="10" spans="1:7" x14ac:dyDescent="0.35">
      <c r="A10" s="3" t="s">
        <v>85</v>
      </c>
      <c r="B10" s="14">
        <v>10</v>
      </c>
      <c r="C10" s="30">
        <v>45981</v>
      </c>
      <c r="D10" s="3" t="s">
        <v>453</v>
      </c>
    </row>
    <row r="11" spans="1:7" x14ac:dyDescent="0.35">
      <c r="A11" s="3" t="s">
        <v>11</v>
      </c>
      <c r="B11" s="14">
        <v>510</v>
      </c>
      <c r="C11" s="30">
        <v>45985</v>
      </c>
      <c r="D11" s="3" t="s">
        <v>312</v>
      </c>
    </row>
    <row r="12" spans="1:7" x14ac:dyDescent="0.35">
      <c r="A12" s="3" t="s">
        <v>11</v>
      </c>
      <c r="B12" s="14">
        <v>1000</v>
      </c>
      <c r="C12" s="30">
        <v>45987</v>
      </c>
      <c r="D12" s="3" t="s">
        <v>312</v>
      </c>
    </row>
    <row r="13" spans="1:7" x14ac:dyDescent="0.35">
      <c r="A13" s="3" t="s">
        <v>72</v>
      </c>
      <c r="B13" s="14">
        <v>2000</v>
      </c>
      <c r="C13" s="30">
        <v>45995</v>
      </c>
      <c r="D13" s="3" t="s">
        <v>498</v>
      </c>
    </row>
    <row r="14" spans="1:7" x14ac:dyDescent="0.35">
      <c r="A14" s="3" t="s">
        <v>13</v>
      </c>
      <c r="B14" s="14">
        <v>151.28000000000065</v>
      </c>
      <c r="C14" s="30">
        <v>45995</v>
      </c>
      <c r="D14" s="3" t="s">
        <v>499</v>
      </c>
    </row>
    <row r="15" spans="1:7" x14ac:dyDescent="0.35">
      <c r="C15" s="30"/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33C2CE-EF54-4560-91B5-D1B3B2A43C67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B33D6-1DEE-4994-9E94-3A5B7194EFE3}">
  <sheetPr codeName="Sheet33"/>
  <dimension ref="A1:G24"/>
  <sheetViews>
    <sheetView topLeftCell="A3" zoomScale="151" workbookViewId="0">
      <selection activeCell="D14" sqref="D14"/>
    </sheetView>
  </sheetViews>
  <sheetFormatPr defaultColWidth="9.140625" defaultRowHeight="18" x14ac:dyDescent="0.35"/>
  <cols>
    <col min="1" max="1" width="15" style="3" bestFit="1" customWidth="1"/>
    <col min="2" max="2" width="11.7109375" style="14" bestFit="1" customWidth="1"/>
    <col min="3" max="3" width="11" style="3" bestFit="1" customWidth="1"/>
    <col min="4" max="4" width="32.85546875" style="3" bestFit="1" customWidth="1"/>
    <col min="5" max="5" width="9.42578125" style="3" bestFit="1" customWidth="1"/>
    <col min="6" max="6" width="12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45995</v>
      </c>
    </row>
    <row r="2" spans="1:7" x14ac:dyDescent="0.35">
      <c r="A2" s="3" t="s">
        <v>13</v>
      </c>
      <c r="B2" s="14">
        <v>-151.280000000001</v>
      </c>
      <c r="C2" s="30">
        <v>45995</v>
      </c>
      <c r="D2" s="3" t="s">
        <v>500</v>
      </c>
    </row>
    <row r="3" spans="1:7" x14ac:dyDescent="0.35">
      <c r="A3" s="3" t="s">
        <v>11</v>
      </c>
      <c r="B3" s="14">
        <v>1010</v>
      </c>
      <c r="C3" s="30">
        <v>45995</v>
      </c>
      <c r="D3" s="3" t="s">
        <v>312</v>
      </c>
    </row>
    <row r="4" spans="1:7" x14ac:dyDescent="0.35">
      <c r="A4" s="3" t="s">
        <v>52</v>
      </c>
      <c r="B4" s="14">
        <v>114</v>
      </c>
      <c r="C4" s="30">
        <v>45995</v>
      </c>
      <c r="D4" s="3" t="s">
        <v>501</v>
      </c>
    </row>
    <row r="5" spans="1:7" x14ac:dyDescent="0.35">
      <c r="A5" s="3" t="s">
        <v>11</v>
      </c>
      <c r="B5" s="14">
        <v>250</v>
      </c>
      <c r="C5" s="30">
        <v>45995</v>
      </c>
      <c r="D5" s="3" t="s">
        <v>502</v>
      </c>
      <c r="F5"/>
      <c r="G5"/>
    </row>
    <row r="6" spans="1:7" x14ac:dyDescent="0.35">
      <c r="A6" s="3" t="s">
        <v>17</v>
      </c>
      <c r="B6" s="14">
        <v>220</v>
      </c>
      <c r="C6" s="30">
        <v>45995</v>
      </c>
      <c r="D6" s="3" t="s">
        <v>490</v>
      </c>
      <c r="F6"/>
      <c r="G6"/>
    </row>
    <row r="7" spans="1:7" x14ac:dyDescent="0.35">
      <c r="A7" s="3" t="s">
        <v>8</v>
      </c>
      <c r="B7" s="14">
        <v>3064.28</v>
      </c>
      <c r="C7" s="30">
        <v>45995</v>
      </c>
      <c r="D7" s="3" t="s">
        <v>503</v>
      </c>
      <c r="F7" s="24"/>
      <c r="G7"/>
    </row>
    <row r="8" spans="1:7" x14ac:dyDescent="0.35">
      <c r="A8" s="3" t="s">
        <v>40</v>
      </c>
      <c r="B8" s="14">
        <v>4000</v>
      </c>
      <c r="C8" s="30">
        <v>45995</v>
      </c>
      <c r="D8" s="3" t="s">
        <v>504</v>
      </c>
    </row>
    <row r="9" spans="1:7" x14ac:dyDescent="0.35">
      <c r="A9" s="3" t="s">
        <v>85</v>
      </c>
      <c r="B9" s="14">
        <v>10</v>
      </c>
      <c r="C9" s="30">
        <v>45995</v>
      </c>
      <c r="D9" s="3" t="s">
        <v>505</v>
      </c>
    </row>
    <row r="10" spans="1:7" x14ac:dyDescent="0.35">
      <c r="A10" s="3" t="s">
        <v>14</v>
      </c>
      <c r="B10" s="14">
        <v>100</v>
      </c>
      <c r="C10" s="30">
        <v>45999</v>
      </c>
      <c r="D10" s="3" t="s">
        <v>506</v>
      </c>
    </row>
    <row r="11" spans="1:7" x14ac:dyDescent="0.35">
      <c r="A11" s="3" t="s">
        <v>76</v>
      </c>
      <c r="B11" s="14">
        <v>232.44</v>
      </c>
      <c r="C11" s="30">
        <v>46002</v>
      </c>
      <c r="D11" s="3" t="s">
        <v>371</v>
      </c>
    </row>
    <row r="12" spans="1:7" x14ac:dyDescent="0.35">
      <c r="A12" s="3" t="s">
        <v>11</v>
      </c>
      <c r="B12" s="14">
        <v>600</v>
      </c>
      <c r="C12" s="30">
        <v>46001</v>
      </c>
      <c r="D12" s="3" t="s">
        <v>312</v>
      </c>
    </row>
    <row r="13" spans="1:7" x14ac:dyDescent="0.35">
      <c r="A13" s="3" t="s">
        <v>507</v>
      </c>
      <c r="B13" s="14">
        <v>1000</v>
      </c>
      <c r="C13" s="30">
        <v>46003</v>
      </c>
      <c r="D13" s="3" t="s">
        <v>312</v>
      </c>
    </row>
    <row r="14" spans="1:7" x14ac:dyDescent="0.35">
      <c r="A14" s="3" t="s">
        <v>72</v>
      </c>
      <c r="B14" s="14">
        <v>500</v>
      </c>
      <c r="C14" s="30">
        <v>46009</v>
      </c>
      <c r="D14" s="3" t="s">
        <v>430</v>
      </c>
    </row>
    <row r="15" spans="1:7" x14ac:dyDescent="0.35">
      <c r="A15" s="3" t="s">
        <v>13</v>
      </c>
      <c r="B15" s="14">
        <v>98.14</v>
      </c>
      <c r="C15" s="30">
        <v>46009</v>
      </c>
      <c r="D15" s="3" t="s">
        <v>499</v>
      </c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C0709E-9B5F-40C0-AE5C-4085A62B5FA1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9B72A-5D5C-4B52-94F4-248B9E1F08D4}">
  <sheetPr codeName="Sheet35"/>
  <dimension ref="A1:G24"/>
  <sheetViews>
    <sheetView zoomScale="151" workbookViewId="0">
      <selection activeCell="D25" sqref="D25"/>
    </sheetView>
  </sheetViews>
  <sheetFormatPr defaultColWidth="9.140625" defaultRowHeight="18" x14ac:dyDescent="0.35"/>
  <cols>
    <col min="1" max="1" width="15.7109375" style="3" bestFit="1" customWidth="1"/>
    <col min="2" max="2" width="11.7109375" style="14" bestFit="1" customWidth="1"/>
    <col min="3" max="3" width="11.42578125" style="3" bestFit="1" customWidth="1"/>
    <col min="4" max="4" width="43.710937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46009</v>
      </c>
    </row>
    <row r="2" spans="1:7" x14ac:dyDescent="0.35">
      <c r="A2" s="3" t="s">
        <v>13</v>
      </c>
      <c r="B2" s="14">
        <v>-98.14</v>
      </c>
      <c r="C2" s="30">
        <v>46009</v>
      </c>
      <c r="D2" s="3" t="s">
        <v>461</v>
      </c>
    </row>
    <row r="3" spans="1:7" x14ac:dyDescent="0.35">
      <c r="A3" s="3" t="s">
        <v>17</v>
      </c>
      <c r="B3" s="14">
        <v>190</v>
      </c>
      <c r="C3" s="30">
        <v>46009</v>
      </c>
      <c r="D3" s="3" t="s">
        <v>456</v>
      </c>
    </row>
    <row r="4" spans="1:7" x14ac:dyDescent="0.35">
      <c r="A4" s="3" t="s">
        <v>17</v>
      </c>
      <c r="B4" s="14">
        <v>150</v>
      </c>
      <c r="C4" s="30">
        <v>46009</v>
      </c>
      <c r="D4" s="3" t="s">
        <v>508</v>
      </c>
    </row>
    <row r="5" spans="1:7" x14ac:dyDescent="0.35">
      <c r="A5" s="3" t="s">
        <v>40</v>
      </c>
      <c r="B5" s="14">
        <v>4000</v>
      </c>
      <c r="C5" s="30">
        <v>46009</v>
      </c>
      <c r="D5" s="3" t="s">
        <v>182</v>
      </c>
    </row>
    <row r="6" spans="1:7" x14ac:dyDescent="0.35">
      <c r="A6" s="3" t="s">
        <v>8</v>
      </c>
      <c r="B6" s="14">
        <v>2878.25</v>
      </c>
      <c r="C6" s="30">
        <v>46009</v>
      </c>
      <c r="D6" s="3" t="s">
        <v>509</v>
      </c>
    </row>
    <row r="7" spans="1:7" x14ac:dyDescent="0.35">
      <c r="A7" s="3" t="s">
        <v>10</v>
      </c>
      <c r="B7" s="14">
        <v>276</v>
      </c>
      <c r="C7" s="30">
        <v>46009</v>
      </c>
      <c r="D7" s="3" t="s">
        <v>510</v>
      </c>
      <c r="E7" s="14"/>
    </row>
    <row r="8" spans="1:7" x14ac:dyDescent="0.35">
      <c r="A8" s="3" t="s">
        <v>55</v>
      </c>
      <c r="B8" s="14">
        <v>281.79000000000002</v>
      </c>
      <c r="C8" s="30">
        <v>46009</v>
      </c>
      <c r="D8" s="3" t="s">
        <v>511</v>
      </c>
    </row>
    <row r="9" spans="1:7" x14ac:dyDescent="0.35">
      <c r="A9" s="3" t="s">
        <v>78</v>
      </c>
      <c r="B9" s="14">
        <v>673.15</v>
      </c>
      <c r="C9" s="30">
        <v>46009</v>
      </c>
      <c r="D9" s="3" t="s">
        <v>495</v>
      </c>
    </row>
    <row r="10" spans="1:7" x14ac:dyDescent="0.35">
      <c r="A10" s="3" t="s">
        <v>85</v>
      </c>
      <c r="B10" s="14">
        <v>5</v>
      </c>
      <c r="C10" s="30">
        <v>46009</v>
      </c>
      <c r="D10" s="3" t="s">
        <v>512</v>
      </c>
    </row>
    <row r="11" spans="1:7" x14ac:dyDescent="0.35">
      <c r="A11" s="3" t="s">
        <v>11</v>
      </c>
      <c r="B11" s="14">
        <v>1000</v>
      </c>
      <c r="C11" s="30">
        <v>46009</v>
      </c>
      <c r="D11" s="3" t="s">
        <v>312</v>
      </c>
    </row>
    <row r="12" spans="1:7" x14ac:dyDescent="0.35">
      <c r="A12" s="3" t="s">
        <v>52</v>
      </c>
      <c r="B12" s="14">
        <v>278</v>
      </c>
      <c r="C12" s="30">
        <v>46010</v>
      </c>
      <c r="D12" s="3" t="s">
        <v>513</v>
      </c>
    </row>
    <row r="13" spans="1:7" x14ac:dyDescent="0.35">
      <c r="A13" s="3" t="s">
        <v>88</v>
      </c>
      <c r="B13" s="14">
        <v>500</v>
      </c>
      <c r="C13" s="30">
        <v>46011</v>
      </c>
      <c r="D13" s="3" t="s">
        <v>514</v>
      </c>
    </row>
    <row r="14" spans="1:7" x14ac:dyDescent="0.35">
      <c r="A14" s="3" t="s">
        <v>11</v>
      </c>
      <c r="B14" s="14">
        <v>1000</v>
      </c>
      <c r="C14" s="30">
        <v>46014</v>
      </c>
      <c r="D14" s="3" t="s">
        <v>312</v>
      </c>
    </row>
    <row r="15" spans="1:7" x14ac:dyDescent="0.35">
      <c r="A15" s="3" t="s">
        <v>11</v>
      </c>
      <c r="B15" s="14">
        <v>500</v>
      </c>
      <c r="C15" s="30">
        <v>46014</v>
      </c>
      <c r="D15" s="3" t="s">
        <v>515</v>
      </c>
    </row>
    <row r="16" spans="1:7" x14ac:dyDescent="0.35">
      <c r="A16" s="3" t="s">
        <v>83</v>
      </c>
      <c r="B16" s="14">
        <v>500</v>
      </c>
      <c r="C16" s="30">
        <v>46016</v>
      </c>
      <c r="D16" s="3" t="s">
        <v>516</v>
      </c>
    </row>
    <row r="17" spans="1:4" x14ac:dyDescent="0.35">
      <c r="A17" s="3" t="s">
        <v>57</v>
      </c>
      <c r="B17" s="14">
        <v>500</v>
      </c>
      <c r="C17" s="30">
        <v>46017</v>
      </c>
      <c r="D17" s="3" t="s">
        <v>517</v>
      </c>
    </row>
    <row r="18" spans="1:4" x14ac:dyDescent="0.35">
      <c r="A18" s="3" t="s">
        <v>11</v>
      </c>
      <c r="B18" s="14">
        <v>500</v>
      </c>
      <c r="C18" s="30">
        <v>46017</v>
      </c>
      <c r="D18" s="3" t="s">
        <v>312</v>
      </c>
    </row>
    <row r="19" spans="1:4" x14ac:dyDescent="0.35">
      <c r="A19" s="3" t="s">
        <v>72</v>
      </c>
      <c r="B19" s="14">
        <v>1000</v>
      </c>
      <c r="C19" s="30">
        <v>46023</v>
      </c>
      <c r="D19" s="3" t="s">
        <v>430</v>
      </c>
    </row>
    <row r="20" spans="1:4" x14ac:dyDescent="0.35">
      <c r="A20" s="3" t="s">
        <v>13</v>
      </c>
      <c r="B20" s="14">
        <v>244.13000000000102</v>
      </c>
      <c r="C20" s="30">
        <v>46023</v>
      </c>
      <c r="D20" s="3" t="s">
        <v>372</v>
      </c>
    </row>
    <row r="24" spans="1:4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C3F6E9-305A-4739-A238-42C69DFF058B}">
          <x14:formula1>
            <xm:f>'Dropdown Expenses'!$A:$A</xm:f>
          </x14:formula1>
          <xm:sqref>A2:A20 A24:A1048576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E1364-B7F8-405C-87D8-E1CAD5385F92}">
  <sheetPr codeName="Sheet36"/>
  <dimension ref="A1:G24"/>
  <sheetViews>
    <sheetView topLeftCell="A7" zoomScale="151" workbookViewId="0">
      <selection activeCell="A17" sqref="A17"/>
    </sheetView>
  </sheetViews>
  <sheetFormatPr defaultColWidth="9.140625" defaultRowHeight="18" x14ac:dyDescent="0.35"/>
  <cols>
    <col min="1" max="1" width="15" style="3" bestFit="1" customWidth="1"/>
    <col min="2" max="2" width="11.7109375" style="14" bestFit="1" customWidth="1"/>
    <col min="3" max="3" width="9.85546875" style="3" bestFit="1" customWidth="1"/>
    <col min="4" max="4" width="30.285156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46023</v>
      </c>
    </row>
    <row r="2" spans="1:7" x14ac:dyDescent="0.35">
      <c r="A2" s="3" t="s">
        <v>518</v>
      </c>
      <c r="B2" s="14">
        <v>-244.13000000000099</v>
      </c>
      <c r="C2" s="30">
        <v>46023</v>
      </c>
      <c r="D2" s="3" t="s">
        <v>461</v>
      </c>
    </row>
    <row r="3" spans="1:7" x14ac:dyDescent="0.35">
      <c r="A3" s="3" t="s">
        <v>40</v>
      </c>
      <c r="B3" s="14">
        <v>4000</v>
      </c>
      <c r="C3" s="30">
        <v>46023</v>
      </c>
      <c r="D3" s="3" t="s">
        <v>519</v>
      </c>
    </row>
    <row r="4" spans="1:7" x14ac:dyDescent="0.35">
      <c r="A4" s="3" t="s">
        <v>8</v>
      </c>
      <c r="B4" s="14">
        <v>4000</v>
      </c>
      <c r="C4" s="30">
        <v>46023</v>
      </c>
      <c r="D4" s="3" t="s">
        <v>520</v>
      </c>
    </row>
    <row r="5" spans="1:7" x14ac:dyDescent="0.35">
      <c r="A5" s="3" t="s">
        <v>521</v>
      </c>
      <c r="B5" s="14">
        <v>10</v>
      </c>
      <c r="C5" s="30">
        <v>46023</v>
      </c>
      <c r="D5" s="3" t="s">
        <v>522</v>
      </c>
    </row>
    <row r="6" spans="1:7" x14ac:dyDescent="0.35">
      <c r="A6" s="3" t="s">
        <v>41</v>
      </c>
      <c r="B6" s="14">
        <v>-2.69</v>
      </c>
      <c r="C6" s="30">
        <v>46023</v>
      </c>
      <c r="D6" s="3" t="s">
        <v>333</v>
      </c>
    </row>
    <row r="7" spans="1:7" x14ac:dyDescent="0.35">
      <c r="A7" s="3" t="s">
        <v>79</v>
      </c>
      <c r="B7" s="14">
        <v>0.54</v>
      </c>
      <c r="C7" s="30">
        <v>46023</v>
      </c>
      <c r="D7" s="3" t="s">
        <v>523</v>
      </c>
    </row>
    <row r="8" spans="1:7" x14ac:dyDescent="0.35">
      <c r="A8" s="3" t="s">
        <v>88</v>
      </c>
      <c r="B8" s="14">
        <v>460</v>
      </c>
      <c r="C8" s="30">
        <v>46023</v>
      </c>
      <c r="D8" s="3" t="s">
        <v>524</v>
      </c>
    </row>
    <row r="9" spans="1:7" x14ac:dyDescent="0.35">
      <c r="A9" s="3" t="s">
        <v>78</v>
      </c>
      <c r="B9" s="14">
        <v>800</v>
      </c>
      <c r="C9" s="30">
        <v>46024</v>
      </c>
      <c r="D9" s="3" t="s">
        <v>525</v>
      </c>
    </row>
    <row r="10" spans="1:7" x14ac:dyDescent="0.35">
      <c r="A10" s="3" t="s">
        <v>11</v>
      </c>
      <c r="B10" s="14">
        <v>2010</v>
      </c>
      <c r="C10" s="30">
        <v>46027</v>
      </c>
      <c r="D10" s="3" t="s">
        <v>526</v>
      </c>
    </row>
    <row r="11" spans="1:7" x14ac:dyDescent="0.35">
      <c r="A11" s="3" t="s">
        <v>50</v>
      </c>
      <c r="B11" s="14">
        <v>809</v>
      </c>
      <c r="C11" s="30">
        <v>46027</v>
      </c>
      <c r="D11" s="3" t="s">
        <v>527</v>
      </c>
    </row>
    <row r="12" spans="1:7" x14ac:dyDescent="0.35">
      <c r="A12" s="3" t="s">
        <v>48</v>
      </c>
      <c r="B12" s="14">
        <v>345</v>
      </c>
      <c r="C12" s="30">
        <v>46027</v>
      </c>
      <c r="D12" s="3" t="s">
        <v>528</v>
      </c>
    </row>
    <row r="13" spans="1:7" x14ac:dyDescent="0.35">
      <c r="A13" s="3" t="s">
        <v>50</v>
      </c>
      <c r="B13" s="14">
        <v>100</v>
      </c>
      <c r="C13" s="30">
        <v>45672</v>
      </c>
      <c r="D13" s="3" t="s">
        <v>180</v>
      </c>
    </row>
    <row r="14" spans="1:7" x14ac:dyDescent="0.35">
      <c r="A14" s="3" t="s">
        <v>72</v>
      </c>
      <c r="B14" s="14">
        <v>1500</v>
      </c>
      <c r="C14" s="30">
        <v>45672</v>
      </c>
      <c r="D14" s="3" t="s">
        <v>410</v>
      </c>
    </row>
    <row r="15" spans="1:7" x14ac:dyDescent="0.35">
      <c r="A15" s="3" t="s">
        <v>518</v>
      </c>
      <c r="B15" s="14">
        <v>323.73999999999978</v>
      </c>
      <c r="C15" s="30">
        <v>45672</v>
      </c>
      <c r="D15" s="3" t="s">
        <v>499</v>
      </c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FADC4B-127A-4727-8D86-74F471D94659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99EE-830E-401F-BAB0-29F18D4D3184}">
  <sheetPr codeName="Sheet37"/>
  <dimension ref="A1:G29"/>
  <sheetViews>
    <sheetView topLeftCell="A4" zoomScale="151" workbookViewId="0">
      <selection activeCell="A30" sqref="A30"/>
    </sheetView>
  </sheetViews>
  <sheetFormatPr defaultColWidth="9.140625" defaultRowHeight="18" x14ac:dyDescent="0.35"/>
  <cols>
    <col min="1" max="1" width="15" style="3" bestFit="1" customWidth="1"/>
    <col min="2" max="2" width="11.7109375" style="14" bestFit="1" customWidth="1"/>
    <col min="3" max="3" width="10.140625" style="3" bestFit="1" customWidth="1"/>
    <col min="4" max="4" width="35.425781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46037</v>
      </c>
    </row>
    <row r="2" spans="1:7" x14ac:dyDescent="0.35">
      <c r="A2" s="3" t="s">
        <v>518</v>
      </c>
      <c r="B2" s="14">
        <v>-323.74</v>
      </c>
      <c r="C2" s="30">
        <v>46037</v>
      </c>
      <c r="D2" s="3" t="s">
        <v>461</v>
      </c>
    </row>
    <row r="3" spans="1:7" x14ac:dyDescent="0.35">
      <c r="A3" s="3" t="s">
        <v>76</v>
      </c>
      <c r="B3" s="14">
        <v>232.44</v>
      </c>
      <c r="C3" s="30">
        <v>46037</v>
      </c>
      <c r="D3" s="3" t="s">
        <v>371</v>
      </c>
    </row>
    <row r="4" spans="1:7" x14ac:dyDescent="0.35">
      <c r="A4" s="3" t="s">
        <v>518</v>
      </c>
      <c r="B4" s="14">
        <v>-408.26</v>
      </c>
      <c r="C4" s="30">
        <v>46037</v>
      </c>
      <c r="D4" s="3" t="s">
        <v>529</v>
      </c>
    </row>
    <row r="5" spans="1:7" x14ac:dyDescent="0.35">
      <c r="A5" s="3" t="s">
        <v>40</v>
      </c>
      <c r="B5" s="14">
        <v>4000</v>
      </c>
      <c r="C5" s="30">
        <v>46037</v>
      </c>
      <c r="D5" s="3" t="s">
        <v>492</v>
      </c>
    </row>
    <row r="6" spans="1:7" x14ac:dyDescent="0.35">
      <c r="A6" s="3" t="s">
        <v>8</v>
      </c>
      <c r="B6" s="14">
        <v>8565.0499999999993</v>
      </c>
      <c r="C6" s="30">
        <v>46037</v>
      </c>
      <c r="D6" s="3" t="s">
        <v>530</v>
      </c>
    </row>
    <row r="7" spans="1:7" x14ac:dyDescent="0.35">
      <c r="A7" s="3" t="s">
        <v>10</v>
      </c>
      <c r="B7" s="14">
        <v>755.79</v>
      </c>
      <c r="C7" s="30">
        <v>46037</v>
      </c>
      <c r="D7" s="3" t="s">
        <v>531</v>
      </c>
    </row>
    <row r="8" spans="1:7" x14ac:dyDescent="0.35">
      <c r="A8" s="3" t="s">
        <v>85</v>
      </c>
      <c r="B8" s="14">
        <v>10</v>
      </c>
      <c r="C8" s="30">
        <v>46037</v>
      </c>
      <c r="D8" s="3" t="s">
        <v>512</v>
      </c>
    </row>
    <row r="9" spans="1:7" x14ac:dyDescent="0.35">
      <c r="A9" s="3" t="s">
        <v>57</v>
      </c>
      <c r="B9" s="14">
        <v>2500</v>
      </c>
      <c r="C9" s="30">
        <v>46037</v>
      </c>
      <c r="D9" s="3" t="s">
        <v>532</v>
      </c>
    </row>
    <row r="10" spans="1:7" x14ac:dyDescent="0.35">
      <c r="A10" s="3" t="s">
        <v>44</v>
      </c>
      <c r="B10" s="14">
        <v>138</v>
      </c>
      <c r="C10" s="30">
        <v>46037</v>
      </c>
      <c r="D10" s="3" t="s">
        <v>533</v>
      </c>
    </row>
    <row r="11" spans="1:7" x14ac:dyDescent="0.35">
      <c r="A11" s="3" t="s">
        <v>3</v>
      </c>
      <c r="B11" s="14">
        <v>158</v>
      </c>
      <c r="C11" s="30">
        <v>46037</v>
      </c>
      <c r="D11" s="3" t="s">
        <v>534</v>
      </c>
    </row>
    <row r="12" spans="1:7" x14ac:dyDescent="0.35">
      <c r="A12" s="3" t="s">
        <v>3</v>
      </c>
      <c r="B12" s="14">
        <v>190</v>
      </c>
      <c r="C12" s="30">
        <v>46037</v>
      </c>
      <c r="D12" s="3" t="s">
        <v>535</v>
      </c>
    </row>
    <row r="13" spans="1:7" x14ac:dyDescent="0.35">
      <c r="A13" s="3" t="s">
        <v>87</v>
      </c>
      <c r="B13" s="14">
        <v>1010</v>
      </c>
      <c r="C13" s="30">
        <v>46037</v>
      </c>
      <c r="D13" s="3" t="s">
        <v>536</v>
      </c>
    </row>
    <row r="14" spans="1:7" x14ac:dyDescent="0.35">
      <c r="A14" s="3" t="s">
        <v>59</v>
      </c>
      <c r="B14" s="14">
        <v>-1000</v>
      </c>
      <c r="C14" s="30">
        <v>46038</v>
      </c>
      <c r="D14" s="3" t="s">
        <v>537</v>
      </c>
    </row>
    <row r="15" spans="1:7" x14ac:dyDescent="0.35">
      <c r="A15" s="3" t="s">
        <v>52</v>
      </c>
      <c r="B15" s="14">
        <v>510</v>
      </c>
      <c r="C15" s="30">
        <v>46038</v>
      </c>
      <c r="D15" s="3" t="s">
        <v>538</v>
      </c>
    </row>
    <row r="16" spans="1:7" x14ac:dyDescent="0.35">
      <c r="A16" s="3" t="s">
        <v>36</v>
      </c>
      <c r="B16" s="14">
        <v>210</v>
      </c>
      <c r="C16" s="30">
        <v>46038</v>
      </c>
      <c r="D16" s="3" t="s">
        <v>539</v>
      </c>
    </row>
    <row r="17" spans="1:4" x14ac:dyDescent="0.35">
      <c r="A17" s="3" t="s">
        <v>36</v>
      </c>
      <c r="B17" s="14">
        <v>210</v>
      </c>
      <c r="C17" s="30">
        <v>46041</v>
      </c>
      <c r="D17" s="3" t="s">
        <v>540</v>
      </c>
    </row>
    <row r="18" spans="1:4" x14ac:dyDescent="0.35">
      <c r="A18" s="3" t="s">
        <v>11</v>
      </c>
      <c r="B18" s="14">
        <v>2610</v>
      </c>
      <c r="C18" s="30">
        <v>46041</v>
      </c>
      <c r="D18" s="3" t="s">
        <v>312</v>
      </c>
    </row>
    <row r="19" spans="1:4" x14ac:dyDescent="0.35">
      <c r="A19" s="3" t="s">
        <v>57</v>
      </c>
      <c r="B19" s="14">
        <v>1000</v>
      </c>
      <c r="C19" s="30">
        <v>46043</v>
      </c>
      <c r="D19" s="3" t="s">
        <v>541</v>
      </c>
    </row>
    <row r="20" spans="1:4" x14ac:dyDescent="0.35">
      <c r="A20" s="3" t="s">
        <v>50</v>
      </c>
      <c r="B20" s="14">
        <v>110</v>
      </c>
      <c r="C20" s="30">
        <v>46048</v>
      </c>
      <c r="D20" s="3" t="s">
        <v>542</v>
      </c>
    </row>
    <row r="21" spans="1:4" x14ac:dyDescent="0.35">
      <c r="A21" s="3" t="s">
        <v>11</v>
      </c>
      <c r="B21" s="14">
        <v>550</v>
      </c>
      <c r="C21" s="30">
        <v>46048</v>
      </c>
      <c r="D21" s="3" t="s">
        <v>312</v>
      </c>
    </row>
    <row r="22" spans="1:4" x14ac:dyDescent="0.35">
      <c r="A22" s="3" t="s">
        <v>88</v>
      </c>
      <c r="B22" s="14">
        <v>450</v>
      </c>
      <c r="C22" s="30">
        <v>46048</v>
      </c>
      <c r="D22" s="3" t="s">
        <v>524</v>
      </c>
    </row>
    <row r="23" spans="1:4" x14ac:dyDescent="0.35">
      <c r="A23" s="3" t="s">
        <v>50</v>
      </c>
      <c r="B23" s="14">
        <v>510</v>
      </c>
      <c r="C23" s="30">
        <v>46050</v>
      </c>
      <c r="D23" s="3" t="s">
        <v>543</v>
      </c>
    </row>
    <row r="24" spans="1:4" x14ac:dyDescent="0.35">
      <c r="A24" s="3" t="s">
        <v>87</v>
      </c>
      <c r="B24" s="14">
        <v>1010</v>
      </c>
      <c r="C24" s="30">
        <v>46050</v>
      </c>
      <c r="D24" s="3" t="s">
        <v>544</v>
      </c>
    </row>
    <row r="25" spans="1:4" x14ac:dyDescent="0.35">
      <c r="A25" s="3" t="s">
        <v>57</v>
      </c>
      <c r="B25" s="14">
        <v>1000</v>
      </c>
      <c r="C25" s="30">
        <v>46051</v>
      </c>
      <c r="D25" s="3" t="s">
        <v>545</v>
      </c>
    </row>
    <row r="26" spans="1:4" x14ac:dyDescent="0.35">
      <c r="A26" s="3" t="s">
        <v>72</v>
      </c>
      <c r="B26" s="14">
        <v>6000</v>
      </c>
      <c r="C26" s="30">
        <v>46051</v>
      </c>
      <c r="D26" s="3" t="s">
        <v>72</v>
      </c>
    </row>
    <row r="27" spans="1:4" x14ac:dyDescent="0.35">
      <c r="A27" s="3" t="s">
        <v>518</v>
      </c>
      <c r="B27" s="14">
        <v>416.13999999999942</v>
      </c>
      <c r="C27" s="30">
        <v>46051</v>
      </c>
      <c r="D27" s="3" t="s">
        <v>499</v>
      </c>
    </row>
    <row r="28" spans="1:4" x14ac:dyDescent="0.35">
      <c r="A28" s="3" t="s">
        <v>59</v>
      </c>
      <c r="B28" s="14">
        <v>-1400</v>
      </c>
      <c r="C28" s="30">
        <v>46062</v>
      </c>
      <c r="D28" s="3" t="s">
        <v>546</v>
      </c>
    </row>
    <row r="29" spans="1:4" x14ac:dyDescent="0.35">
      <c r="A29" s="3" t="s">
        <v>72</v>
      </c>
      <c r="B29" s="14">
        <v>1400</v>
      </c>
      <c r="C29" s="30">
        <v>46062</v>
      </c>
      <c r="D29" s="3" t="s">
        <v>547</v>
      </c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1C2424-22AE-4159-91F1-20E471483BCE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8D33D-1DD3-4151-BD05-BA4F628E6710}">
  <sheetPr codeName="Sheet38"/>
  <dimension ref="A1:G24"/>
  <sheetViews>
    <sheetView zoomScale="151" workbookViewId="0">
      <selection activeCell="B13" sqref="B13"/>
    </sheetView>
  </sheetViews>
  <sheetFormatPr defaultColWidth="9.140625" defaultRowHeight="18" x14ac:dyDescent="0.35"/>
  <cols>
    <col min="1" max="1" width="15.7109375" style="3" bestFit="1" customWidth="1"/>
    <col min="2" max="2" width="11.7109375" style="14" bestFit="1" customWidth="1"/>
    <col min="3" max="3" width="12" style="3" bestFit="1" customWidth="1"/>
    <col min="4" max="4" width="32.8554687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46051</v>
      </c>
    </row>
    <row r="2" spans="1:7" x14ac:dyDescent="0.35">
      <c r="A2" s="3" t="s">
        <v>518</v>
      </c>
      <c r="B2" s="14">
        <v>-416.13999999999902</v>
      </c>
      <c r="C2" s="30">
        <v>46051</v>
      </c>
      <c r="D2" s="3" t="s">
        <v>461</v>
      </c>
    </row>
    <row r="3" spans="1:7" x14ac:dyDescent="0.35">
      <c r="A3" s="3" t="s">
        <v>40</v>
      </c>
      <c r="B3" s="14">
        <v>4000</v>
      </c>
      <c r="C3" s="30">
        <v>46051</v>
      </c>
      <c r="D3" s="3" t="s">
        <v>504</v>
      </c>
    </row>
    <row r="4" spans="1:7" x14ac:dyDescent="0.35">
      <c r="A4" s="3" t="s">
        <v>10</v>
      </c>
      <c r="B4" s="14">
        <v>2387.4499999999998</v>
      </c>
      <c r="C4" s="30">
        <v>46051</v>
      </c>
      <c r="D4" s="3" t="s">
        <v>548</v>
      </c>
    </row>
    <row r="5" spans="1:7" x14ac:dyDescent="0.35">
      <c r="A5" s="3" t="s">
        <v>8</v>
      </c>
      <c r="B5" s="14">
        <v>150</v>
      </c>
      <c r="C5" s="30">
        <v>46051</v>
      </c>
      <c r="D5" s="3" t="s">
        <v>549</v>
      </c>
    </row>
    <row r="6" spans="1:7" x14ac:dyDescent="0.35">
      <c r="A6" s="3" t="s">
        <v>11</v>
      </c>
      <c r="B6" s="14">
        <v>1000</v>
      </c>
      <c r="C6" s="30">
        <v>46051</v>
      </c>
      <c r="D6" s="3" t="s">
        <v>312</v>
      </c>
    </row>
    <row r="7" spans="1:7" x14ac:dyDescent="0.35">
      <c r="A7" s="3" t="s">
        <v>50</v>
      </c>
      <c r="B7" s="14">
        <v>110</v>
      </c>
      <c r="C7" s="30">
        <v>46055</v>
      </c>
      <c r="D7" s="3" t="s">
        <v>180</v>
      </c>
    </row>
    <row r="8" spans="1:7" x14ac:dyDescent="0.35">
      <c r="A8" s="3" t="s">
        <v>85</v>
      </c>
      <c r="B8" s="14">
        <v>10</v>
      </c>
      <c r="C8" s="30">
        <v>46057</v>
      </c>
      <c r="D8" s="3" t="s">
        <v>409</v>
      </c>
    </row>
    <row r="9" spans="1:7" x14ac:dyDescent="0.35">
      <c r="A9" s="3" t="s">
        <v>17</v>
      </c>
      <c r="B9" s="14">
        <v>250</v>
      </c>
      <c r="C9" s="30">
        <v>46059</v>
      </c>
      <c r="D9" s="3" t="s">
        <v>456</v>
      </c>
    </row>
    <row r="10" spans="1:7" x14ac:dyDescent="0.35">
      <c r="A10" s="3" t="s">
        <v>50</v>
      </c>
      <c r="B10" s="14">
        <v>110</v>
      </c>
      <c r="C10" s="30">
        <v>46059</v>
      </c>
      <c r="D10" s="3" t="s">
        <v>550</v>
      </c>
    </row>
    <row r="11" spans="1:7" x14ac:dyDescent="0.35">
      <c r="A11" s="3" t="s">
        <v>11</v>
      </c>
      <c r="B11" s="14">
        <v>1180</v>
      </c>
      <c r="C11" s="30">
        <v>46062</v>
      </c>
      <c r="D11" s="3" t="s">
        <v>312</v>
      </c>
    </row>
    <row r="12" spans="1:7" x14ac:dyDescent="0.35">
      <c r="A12" s="3" t="s">
        <v>76</v>
      </c>
      <c r="B12" s="14">
        <v>232.44</v>
      </c>
      <c r="C12" s="30">
        <v>46064</v>
      </c>
      <c r="D12" s="3" t="s">
        <v>371</v>
      </c>
    </row>
    <row r="13" spans="1:7" x14ac:dyDescent="0.35">
      <c r="A13" s="3" t="s">
        <v>72</v>
      </c>
      <c r="B13" s="14">
        <v>2000</v>
      </c>
      <c r="C13" s="30">
        <v>46065</v>
      </c>
      <c r="D13" s="3" t="s">
        <v>72</v>
      </c>
    </row>
    <row r="14" spans="1:7" x14ac:dyDescent="0.35">
      <c r="A14" s="3" t="s">
        <v>13</v>
      </c>
      <c r="B14" s="14">
        <v>230.66</v>
      </c>
      <c r="C14" s="30">
        <v>46065</v>
      </c>
      <c r="D14" s="3" t="s">
        <v>551</v>
      </c>
    </row>
    <row r="15" spans="1:7" x14ac:dyDescent="0.35">
      <c r="C15" s="30"/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70243-7421-472F-9FD0-2A06E5422779}">
          <x14:formula1>
            <xm:f>'Dropdown Expenses'!$A:$A</xm:f>
          </x14:formula1>
          <xm:sqref>A2:A8 A10:A1048576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4F9F4-5DBD-4BD5-993C-FD1A6B91EFA4}">
  <sheetPr codeName="Sheet39"/>
  <dimension ref="A1:G24"/>
  <sheetViews>
    <sheetView zoomScale="151" workbookViewId="0">
      <selection activeCell="D5" sqref="D5"/>
    </sheetView>
  </sheetViews>
  <sheetFormatPr defaultColWidth="9.140625" defaultRowHeight="18" x14ac:dyDescent="0.35"/>
  <cols>
    <col min="1" max="1" width="15.7109375" style="3" bestFit="1" customWidth="1"/>
    <col min="2" max="2" width="11.7109375" style="14" bestFit="1" customWidth="1"/>
    <col min="3" max="3" width="10.5703125" style="3" bestFit="1" customWidth="1"/>
    <col min="4" max="4" width="31.425781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46065</v>
      </c>
    </row>
    <row r="2" spans="1:7" x14ac:dyDescent="0.35">
      <c r="A2" s="3" t="s">
        <v>13</v>
      </c>
      <c r="B2" s="14">
        <v>-230.66</v>
      </c>
      <c r="C2" s="30">
        <v>46065</v>
      </c>
      <c r="D2" s="3" t="s">
        <v>461</v>
      </c>
    </row>
    <row r="3" spans="1:7" x14ac:dyDescent="0.35">
      <c r="A3" s="3" t="s">
        <v>8</v>
      </c>
      <c r="B3" s="14">
        <v>3750.54</v>
      </c>
      <c r="C3" s="30">
        <v>46065</v>
      </c>
      <c r="D3" s="3" t="s">
        <v>552</v>
      </c>
    </row>
    <row r="4" spans="1:7" x14ac:dyDescent="0.35">
      <c r="A4" s="3" t="s">
        <v>55</v>
      </c>
      <c r="B4" s="14">
        <v>281.79000000000002</v>
      </c>
      <c r="C4" s="30">
        <v>46065</v>
      </c>
      <c r="D4" s="3" t="s">
        <v>55</v>
      </c>
    </row>
    <row r="5" spans="1:7" x14ac:dyDescent="0.35">
      <c r="A5" s="3" t="s">
        <v>40</v>
      </c>
      <c r="B5" s="14">
        <v>4000</v>
      </c>
      <c r="C5" s="30">
        <v>46065</v>
      </c>
      <c r="D5" s="3" t="s">
        <v>553</v>
      </c>
    </row>
    <row r="6" spans="1:7" x14ac:dyDescent="0.35">
      <c r="A6" s="3" t="s">
        <v>11</v>
      </c>
      <c r="B6" s="14">
        <v>1460</v>
      </c>
      <c r="C6" s="30">
        <v>46065</v>
      </c>
      <c r="D6" s="3" t="s">
        <v>312</v>
      </c>
    </row>
    <row r="7" spans="1:7" x14ac:dyDescent="0.35">
      <c r="A7" s="3" t="s">
        <v>44</v>
      </c>
      <c r="B7" s="14">
        <v>351</v>
      </c>
      <c r="C7" s="30">
        <v>46065</v>
      </c>
      <c r="D7" s="3" t="s">
        <v>554</v>
      </c>
    </row>
    <row r="8" spans="1:7" x14ac:dyDescent="0.35">
      <c r="A8" s="3" t="s">
        <v>15</v>
      </c>
      <c r="B8" s="14">
        <v>800</v>
      </c>
      <c r="C8" s="30">
        <v>46065</v>
      </c>
      <c r="D8" s="3" t="s">
        <v>555</v>
      </c>
    </row>
    <row r="9" spans="1:7" x14ac:dyDescent="0.35">
      <c r="A9" s="3" t="s">
        <v>85</v>
      </c>
      <c r="B9" s="14">
        <v>20</v>
      </c>
      <c r="C9" s="30">
        <v>46065</v>
      </c>
      <c r="D9" s="3" t="s">
        <v>556</v>
      </c>
    </row>
    <row r="10" spans="1:7" x14ac:dyDescent="0.35">
      <c r="A10" s="3" t="s">
        <v>3</v>
      </c>
      <c r="B10" s="14">
        <v>200</v>
      </c>
      <c r="C10" s="30">
        <v>46065</v>
      </c>
      <c r="D10" s="3" t="s">
        <v>491</v>
      </c>
    </row>
    <row r="11" spans="1:7" x14ac:dyDescent="0.35">
      <c r="A11" s="3" t="s">
        <v>59</v>
      </c>
      <c r="B11" s="14">
        <v>-100</v>
      </c>
      <c r="C11" s="30">
        <v>46066</v>
      </c>
      <c r="D11" s="3" t="s">
        <v>557</v>
      </c>
    </row>
    <row r="12" spans="1:7" x14ac:dyDescent="0.35">
      <c r="A12" s="3" t="s">
        <v>11</v>
      </c>
      <c r="B12" s="14">
        <v>1018</v>
      </c>
      <c r="C12" s="30">
        <v>46069</v>
      </c>
      <c r="D12" s="3" t="s">
        <v>312</v>
      </c>
    </row>
    <row r="13" spans="1:7" x14ac:dyDescent="0.35">
      <c r="A13" s="3" t="s">
        <v>87</v>
      </c>
      <c r="B13" s="14">
        <v>1010</v>
      </c>
      <c r="C13" s="30">
        <v>46069</v>
      </c>
      <c r="D13" s="3" t="s">
        <v>536</v>
      </c>
    </row>
    <row r="14" spans="1:7" x14ac:dyDescent="0.35">
      <c r="A14" s="3" t="s">
        <v>11</v>
      </c>
      <c r="B14" s="14">
        <v>42</v>
      </c>
      <c r="C14" s="30">
        <v>46072</v>
      </c>
      <c r="D14" s="3" t="s">
        <v>558</v>
      </c>
    </row>
    <row r="15" spans="1:7" x14ac:dyDescent="0.35">
      <c r="A15" s="3" t="s">
        <v>11</v>
      </c>
      <c r="B15" s="14">
        <v>1018</v>
      </c>
      <c r="C15" s="30">
        <v>46076</v>
      </c>
      <c r="D15" s="3" t="s">
        <v>312</v>
      </c>
    </row>
    <row r="16" spans="1:7" x14ac:dyDescent="0.35">
      <c r="A16" s="3" t="s">
        <v>59</v>
      </c>
      <c r="B16" s="14">
        <v>-1000</v>
      </c>
      <c r="C16" s="30">
        <v>46078</v>
      </c>
      <c r="D16" s="3" t="s">
        <v>559</v>
      </c>
    </row>
    <row r="17" spans="1:4" x14ac:dyDescent="0.35">
      <c r="A17" s="3" t="s">
        <v>72</v>
      </c>
      <c r="B17" s="14">
        <v>1000</v>
      </c>
      <c r="C17" s="30">
        <v>46078</v>
      </c>
      <c r="D17" s="3" t="s">
        <v>560</v>
      </c>
    </row>
    <row r="18" spans="1:4" x14ac:dyDescent="0.35">
      <c r="A18" s="3" t="s">
        <v>13</v>
      </c>
      <c r="B18" s="14">
        <v>166.99</v>
      </c>
      <c r="C18" s="30">
        <v>46079</v>
      </c>
      <c r="D18" s="3" t="s">
        <v>561</v>
      </c>
    </row>
    <row r="19" spans="1:4" x14ac:dyDescent="0.35">
      <c r="C19" s="30"/>
    </row>
    <row r="20" spans="1:4" x14ac:dyDescent="0.35">
      <c r="C20" s="30"/>
    </row>
    <row r="21" spans="1:4" x14ac:dyDescent="0.35">
      <c r="C21" s="30"/>
    </row>
    <row r="22" spans="1:4" x14ac:dyDescent="0.35">
      <c r="C22" s="30"/>
    </row>
    <row r="23" spans="1:4" x14ac:dyDescent="0.35">
      <c r="C23" s="30"/>
    </row>
    <row r="24" spans="1:4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C2DB006-6781-4E59-AC90-FF1FAB5E9B37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B6E7C-F481-4E89-9CC2-46F579108215}">
  <sheetPr codeName="Sheet40"/>
  <dimension ref="A1:G24"/>
  <sheetViews>
    <sheetView zoomScale="151" workbookViewId="0">
      <selection activeCell="B11" sqref="B11"/>
    </sheetView>
  </sheetViews>
  <sheetFormatPr defaultColWidth="9.140625" defaultRowHeight="18" x14ac:dyDescent="0.35"/>
  <cols>
    <col min="1" max="1" width="15.7109375" style="3" bestFit="1" customWidth="1"/>
    <col min="2" max="2" width="11.7109375" style="14" bestFit="1" customWidth="1"/>
    <col min="3" max="3" width="10.5703125" style="3" bestFit="1" customWidth="1"/>
    <col min="4" max="4" width="28.425781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46079</v>
      </c>
    </row>
    <row r="2" spans="1:7" x14ac:dyDescent="0.35">
      <c r="A2" s="3" t="s">
        <v>13</v>
      </c>
      <c r="B2" s="14">
        <v>-166.99</v>
      </c>
      <c r="C2" s="30">
        <v>46079</v>
      </c>
      <c r="D2" s="3" t="s">
        <v>461</v>
      </c>
    </row>
    <row r="3" spans="1:7" x14ac:dyDescent="0.35">
      <c r="A3" s="3" t="s">
        <v>40</v>
      </c>
      <c r="B3" s="14">
        <v>4000</v>
      </c>
      <c r="C3" s="30">
        <v>46079</v>
      </c>
      <c r="D3" s="3" t="s">
        <v>553</v>
      </c>
    </row>
    <row r="4" spans="1:7" x14ac:dyDescent="0.35">
      <c r="A4" s="3" t="s">
        <v>11</v>
      </c>
      <c r="B4" s="14">
        <v>1000</v>
      </c>
      <c r="C4" s="30">
        <v>46079</v>
      </c>
      <c r="D4" s="3" t="s">
        <v>312</v>
      </c>
    </row>
    <row r="5" spans="1:7" x14ac:dyDescent="0.35">
      <c r="A5" s="3" t="s">
        <v>11</v>
      </c>
      <c r="B5" s="14">
        <v>89</v>
      </c>
      <c r="C5" s="30">
        <v>46079</v>
      </c>
      <c r="D5" s="3" t="s">
        <v>558</v>
      </c>
    </row>
    <row r="6" spans="1:7" x14ac:dyDescent="0.35">
      <c r="A6" s="3" t="s">
        <v>8</v>
      </c>
      <c r="B6" s="14">
        <v>1330</v>
      </c>
      <c r="C6" s="30">
        <v>46079</v>
      </c>
      <c r="D6" s="3" t="s">
        <v>562</v>
      </c>
    </row>
    <row r="7" spans="1:7" x14ac:dyDescent="0.35">
      <c r="A7" s="3" t="s">
        <v>48</v>
      </c>
      <c r="B7" s="14">
        <v>2474.73</v>
      </c>
      <c r="C7" s="30">
        <v>46079</v>
      </c>
      <c r="D7" s="3" t="s">
        <v>563</v>
      </c>
    </row>
    <row r="8" spans="1:7" x14ac:dyDescent="0.35">
      <c r="A8" s="3" t="s">
        <v>85</v>
      </c>
      <c r="B8" s="14">
        <v>10</v>
      </c>
      <c r="C8" s="30">
        <v>46079</v>
      </c>
      <c r="D8" s="3" t="s">
        <v>505</v>
      </c>
    </row>
    <row r="9" spans="1:7" x14ac:dyDescent="0.35">
      <c r="A9" s="3" t="s">
        <v>3</v>
      </c>
      <c r="B9" s="14">
        <v>440</v>
      </c>
      <c r="C9" s="30">
        <v>46080</v>
      </c>
      <c r="D9" s="3" t="s">
        <v>564</v>
      </c>
    </row>
    <row r="10" spans="1:7" x14ac:dyDescent="0.35">
      <c r="A10" s="3" t="s">
        <v>52</v>
      </c>
      <c r="B10" s="14">
        <v>148</v>
      </c>
      <c r="C10" s="30">
        <v>46081</v>
      </c>
      <c r="D10" s="3" t="s">
        <v>565</v>
      </c>
    </row>
    <row r="11" spans="1:7" x14ac:dyDescent="0.35">
      <c r="A11" s="3" t="s">
        <v>52</v>
      </c>
      <c r="B11" s="14">
        <v>139</v>
      </c>
      <c r="C11" s="30">
        <v>46081</v>
      </c>
      <c r="D11" s="3" t="s">
        <v>566</v>
      </c>
    </row>
    <row r="12" spans="1:7" x14ac:dyDescent="0.35">
      <c r="A12" s="3" t="s">
        <v>59</v>
      </c>
      <c r="B12" s="14">
        <v>120</v>
      </c>
      <c r="C12" s="30">
        <v>46081</v>
      </c>
      <c r="D12" s="3" t="s">
        <v>567</v>
      </c>
    </row>
    <row r="13" spans="1:7" x14ac:dyDescent="0.35">
      <c r="A13" s="3" t="s">
        <v>88</v>
      </c>
      <c r="B13" s="14">
        <v>450</v>
      </c>
      <c r="C13" s="30">
        <v>46083</v>
      </c>
      <c r="D13" s="3" t="s">
        <v>568</v>
      </c>
    </row>
    <row r="14" spans="1:7" x14ac:dyDescent="0.35">
      <c r="A14" s="3" t="s">
        <v>11</v>
      </c>
      <c r="B14" s="14">
        <v>1010</v>
      </c>
      <c r="C14" s="30">
        <v>46085</v>
      </c>
      <c r="D14" s="3" t="s">
        <v>312</v>
      </c>
    </row>
    <row r="15" spans="1:7" x14ac:dyDescent="0.35">
      <c r="A15" s="3" t="s">
        <v>17</v>
      </c>
      <c r="B15" s="14">
        <v>200</v>
      </c>
      <c r="C15" s="30">
        <v>46085</v>
      </c>
      <c r="D15" s="3" t="s">
        <v>490</v>
      </c>
    </row>
    <row r="16" spans="1:7" x14ac:dyDescent="0.35">
      <c r="A16" s="3" t="s">
        <v>11</v>
      </c>
      <c r="B16" s="14">
        <v>1000</v>
      </c>
      <c r="C16" s="30">
        <v>46086</v>
      </c>
      <c r="D16" s="3" t="s">
        <v>312</v>
      </c>
    </row>
    <row r="17" spans="1:4" x14ac:dyDescent="0.35">
      <c r="A17" s="3" t="s">
        <v>13</v>
      </c>
      <c r="B17" s="14">
        <v>114</v>
      </c>
      <c r="C17" s="30">
        <v>46093</v>
      </c>
      <c r="D17" s="3" t="s">
        <v>372</v>
      </c>
    </row>
    <row r="18" spans="1:4" x14ac:dyDescent="0.35">
      <c r="C18" s="30"/>
    </row>
    <row r="19" spans="1:4" x14ac:dyDescent="0.35">
      <c r="C19" s="30"/>
    </row>
    <row r="20" spans="1:4" x14ac:dyDescent="0.35">
      <c r="C20" s="30"/>
    </row>
    <row r="21" spans="1:4" x14ac:dyDescent="0.35">
      <c r="C21" s="30"/>
    </row>
    <row r="22" spans="1:4" x14ac:dyDescent="0.35">
      <c r="C22" s="30"/>
    </row>
    <row r="23" spans="1:4" x14ac:dyDescent="0.35">
      <c r="C23" s="30"/>
    </row>
    <row r="24" spans="1:4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0BBF97-B9F8-4660-ACA4-3AB1A44A4F4D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0F511-CBE0-4613-9E3E-2F0573494CC8}">
  <sheetPr codeName="Sheet44"/>
  <dimension ref="A1:G24"/>
  <sheetViews>
    <sheetView zoomScale="151" workbookViewId="0">
      <selection activeCell="D31" sqref="D31"/>
    </sheetView>
  </sheetViews>
  <sheetFormatPr defaultColWidth="9.140625" defaultRowHeight="18" x14ac:dyDescent="0.35"/>
  <cols>
    <col min="1" max="1" width="14.85546875" style="3" bestFit="1" customWidth="1"/>
    <col min="2" max="2" width="12.28515625" style="14" bestFit="1" customWidth="1"/>
    <col min="3" max="3" width="10.7109375" style="3" bestFit="1" customWidth="1"/>
    <col min="4" max="4" width="24.57031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46121</v>
      </c>
    </row>
    <row r="2" spans="1:7" x14ac:dyDescent="0.35">
      <c r="A2" s="3" t="s">
        <v>84</v>
      </c>
      <c r="B2" s="14">
        <v>1000</v>
      </c>
      <c r="C2" s="30">
        <v>46281</v>
      </c>
      <c r="D2" s="3" t="s">
        <v>569</v>
      </c>
    </row>
    <row r="3" spans="1:7" x14ac:dyDescent="0.35">
      <c r="A3" s="3" t="s">
        <v>36</v>
      </c>
      <c r="B3" s="14">
        <v>1000</v>
      </c>
      <c r="C3" s="30">
        <v>46281</v>
      </c>
      <c r="D3" s="3" t="s">
        <v>570</v>
      </c>
    </row>
    <row r="4" spans="1:7" x14ac:dyDescent="0.35">
      <c r="A4" s="3" t="s">
        <v>25</v>
      </c>
      <c r="B4" s="14">
        <v>2000</v>
      </c>
      <c r="C4" s="30">
        <v>46285</v>
      </c>
      <c r="D4" s="3" t="s">
        <v>571</v>
      </c>
    </row>
    <row r="5" spans="1:7" x14ac:dyDescent="0.35">
      <c r="A5" s="3" t="s">
        <v>57</v>
      </c>
      <c r="B5" s="14">
        <v>1422.93</v>
      </c>
      <c r="C5" s="30">
        <v>46139</v>
      </c>
      <c r="D5" s="3" t="s">
        <v>572</v>
      </c>
    </row>
    <row r="6" spans="1:7" x14ac:dyDescent="0.35">
      <c r="A6" s="3" t="s">
        <v>48</v>
      </c>
      <c r="B6" s="14">
        <v>1500</v>
      </c>
      <c r="C6" s="30">
        <v>46139</v>
      </c>
      <c r="D6" s="3" t="s">
        <v>573</v>
      </c>
    </row>
    <row r="7" spans="1:7" x14ac:dyDescent="0.35">
      <c r="A7" s="3" t="s">
        <v>78</v>
      </c>
      <c r="B7" s="14">
        <v>1500</v>
      </c>
      <c r="C7" s="30">
        <v>46145</v>
      </c>
      <c r="D7" s="3" t="s">
        <v>574</v>
      </c>
    </row>
    <row r="8" spans="1:7" x14ac:dyDescent="0.35">
      <c r="A8" s="3" t="s">
        <v>84</v>
      </c>
      <c r="B8" s="14">
        <v>-100</v>
      </c>
      <c r="C8" s="30">
        <v>46148</v>
      </c>
      <c r="D8" s="3" t="s">
        <v>575</v>
      </c>
    </row>
    <row r="9" spans="1:7" x14ac:dyDescent="0.35">
      <c r="A9" s="3" t="s">
        <v>3</v>
      </c>
      <c r="B9" s="14">
        <v>500</v>
      </c>
      <c r="C9" s="30">
        <v>46149</v>
      </c>
      <c r="D9" s="3" t="s">
        <v>576</v>
      </c>
    </row>
    <row r="10" spans="1:7" x14ac:dyDescent="0.35">
      <c r="A10" s="3" t="s">
        <v>72</v>
      </c>
      <c r="B10" s="14">
        <v>8000</v>
      </c>
      <c r="C10" s="30">
        <v>46149</v>
      </c>
      <c r="D10" s="3" t="s">
        <v>72</v>
      </c>
    </row>
    <row r="11" spans="1:7" x14ac:dyDescent="0.35">
      <c r="A11" s="3" t="s">
        <v>13</v>
      </c>
      <c r="B11" s="14">
        <v>34.930000000000291</v>
      </c>
      <c r="C11" s="30">
        <v>46149</v>
      </c>
      <c r="D11" s="3" t="s">
        <v>577</v>
      </c>
    </row>
    <row r="12" spans="1:7" x14ac:dyDescent="0.35">
      <c r="C12" s="30"/>
    </row>
    <row r="13" spans="1:7" x14ac:dyDescent="0.35">
      <c r="C13" s="30"/>
    </row>
    <row r="14" spans="1:7" x14ac:dyDescent="0.35">
      <c r="C14" s="30"/>
    </row>
    <row r="15" spans="1:7" x14ac:dyDescent="0.35">
      <c r="C15" s="30"/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9DB31B-F299-4B29-B39E-023924DA0717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21B72-ABFA-46B4-B310-D6204BEF23E7}">
  <sheetPr codeName="Sheet41"/>
  <dimension ref="A1:G25"/>
  <sheetViews>
    <sheetView zoomScale="151" workbookViewId="0">
      <selection activeCell="M26" sqref="M26"/>
    </sheetView>
  </sheetViews>
  <sheetFormatPr defaultColWidth="9.140625" defaultRowHeight="18" x14ac:dyDescent="0.35"/>
  <cols>
    <col min="1" max="1" width="15" style="3" bestFit="1" customWidth="1"/>
    <col min="2" max="2" width="11.7109375" style="14" bestFit="1" customWidth="1"/>
    <col min="3" max="3" width="11.28515625" style="3" bestFit="1" customWidth="1"/>
    <col min="4" max="4" width="29.425781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46093</v>
      </c>
    </row>
    <row r="2" spans="1:7" x14ac:dyDescent="0.35">
      <c r="A2" s="3" t="s">
        <v>13</v>
      </c>
      <c r="B2" s="14">
        <v>-114</v>
      </c>
      <c r="C2" s="30">
        <v>46093</v>
      </c>
      <c r="D2" s="3" t="s">
        <v>578</v>
      </c>
    </row>
    <row r="3" spans="1:7" x14ac:dyDescent="0.35">
      <c r="A3" s="3" t="s">
        <v>40</v>
      </c>
      <c r="B3" s="14">
        <v>4000</v>
      </c>
      <c r="C3" s="30">
        <v>46093</v>
      </c>
      <c r="D3" s="3" t="s">
        <v>553</v>
      </c>
    </row>
    <row r="4" spans="1:7" x14ac:dyDescent="0.35">
      <c r="A4" s="3" t="s">
        <v>78</v>
      </c>
      <c r="B4" s="14">
        <v>3007.69</v>
      </c>
      <c r="C4" s="30">
        <v>46093</v>
      </c>
      <c r="D4" s="3" t="s">
        <v>579</v>
      </c>
    </row>
    <row r="5" spans="1:7" x14ac:dyDescent="0.35">
      <c r="A5" s="3" t="s">
        <v>10</v>
      </c>
      <c r="B5" s="14">
        <v>1132.0899999999999</v>
      </c>
      <c r="C5" s="30">
        <v>46093</v>
      </c>
      <c r="D5" s="3" t="s">
        <v>580</v>
      </c>
    </row>
    <row r="6" spans="1:7" x14ac:dyDescent="0.35">
      <c r="A6" s="3" t="s">
        <v>37</v>
      </c>
      <c r="B6" s="14">
        <v>500</v>
      </c>
      <c r="C6" s="30">
        <v>46093</v>
      </c>
      <c r="D6" s="3" t="s">
        <v>33</v>
      </c>
    </row>
    <row r="7" spans="1:7" x14ac:dyDescent="0.35">
      <c r="A7" s="3" t="s">
        <v>29</v>
      </c>
      <c r="B7" s="14">
        <v>500</v>
      </c>
      <c r="C7" s="30">
        <v>45728</v>
      </c>
      <c r="D7" s="3" t="s">
        <v>581</v>
      </c>
    </row>
    <row r="8" spans="1:7" x14ac:dyDescent="0.35">
      <c r="A8" s="3" t="s">
        <v>11</v>
      </c>
      <c r="B8" s="14">
        <v>135</v>
      </c>
      <c r="C8" s="30">
        <v>46093</v>
      </c>
      <c r="D8" s="3" t="s">
        <v>582</v>
      </c>
    </row>
    <row r="9" spans="1:7" x14ac:dyDescent="0.35">
      <c r="A9" s="3" t="s">
        <v>76</v>
      </c>
      <c r="B9" s="14">
        <v>232.44</v>
      </c>
      <c r="C9" s="30">
        <v>46094</v>
      </c>
      <c r="D9" s="3" t="s">
        <v>323</v>
      </c>
    </row>
    <row r="10" spans="1:7" x14ac:dyDescent="0.35">
      <c r="A10" s="3" t="s">
        <v>11</v>
      </c>
      <c r="B10" s="14">
        <v>1018</v>
      </c>
      <c r="C10" s="30">
        <v>46094</v>
      </c>
      <c r="D10" s="3" t="s">
        <v>312</v>
      </c>
    </row>
    <row r="11" spans="1:7" x14ac:dyDescent="0.35">
      <c r="A11" s="3" t="s">
        <v>85</v>
      </c>
      <c r="B11" s="14">
        <v>10</v>
      </c>
      <c r="C11" s="30">
        <v>46094</v>
      </c>
      <c r="D11" s="3" t="s">
        <v>455</v>
      </c>
    </row>
    <row r="12" spans="1:7" x14ac:dyDescent="0.35">
      <c r="A12" s="3" t="s">
        <v>3</v>
      </c>
      <c r="B12" s="14">
        <v>215</v>
      </c>
      <c r="C12" s="30">
        <v>46094</v>
      </c>
      <c r="D12" s="3" t="s">
        <v>583</v>
      </c>
    </row>
    <row r="13" spans="1:7" x14ac:dyDescent="0.35">
      <c r="A13" s="3" t="s">
        <v>11</v>
      </c>
      <c r="B13" s="14">
        <v>1000</v>
      </c>
      <c r="C13" s="30">
        <v>46097</v>
      </c>
      <c r="D13" s="3" t="s">
        <v>312</v>
      </c>
    </row>
    <row r="14" spans="1:7" x14ac:dyDescent="0.35">
      <c r="A14" s="3" t="s">
        <v>52</v>
      </c>
      <c r="B14" s="14">
        <v>363</v>
      </c>
      <c r="C14" s="30">
        <v>46097</v>
      </c>
      <c r="D14" s="3" t="s">
        <v>584</v>
      </c>
    </row>
    <row r="15" spans="1:7" x14ac:dyDescent="0.35">
      <c r="A15" s="3" t="s">
        <v>3</v>
      </c>
      <c r="B15" s="14">
        <v>200</v>
      </c>
      <c r="C15" s="30">
        <v>46100</v>
      </c>
      <c r="D15" s="3" t="s">
        <v>583</v>
      </c>
    </row>
    <row r="16" spans="1:7" x14ac:dyDescent="0.35">
      <c r="A16" s="3" t="s">
        <v>31</v>
      </c>
      <c r="B16" s="14">
        <v>370</v>
      </c>
      <c r="C16" s="30">
        <v>46102</v>
      </c>
      <c r="D16" s="3" t="s">
        <v>585</v>
      </c>
    </row>
    <row r="17" spans="1:4" x14ac:dyDescent="0.35">
      <c r="A17" s="3" t="s">
        <v>11</v>
      </c>
      <c r="B17" s="14">
        <v>1000</v>
      </c>
      <c r="C17" s="30">
        <v>46102</v>
      </c>
      <c r="D17" s="3" t="s">
        <v>312</v>
      </c>
    </row>
    <row r="18" spans="1:4" x14ac:dyDescent="0.35">
      <c r="A18" s="3" t="s">
        <v>72</v>
      </c>
      <c r="B18" s="14">
        <v>1000</v>
      </c>
      <c r="C18" s="30">
        <v>46107</v>
      </c>
      <c r="D18" s="3" t="s">
        <v>430</v>
      </c>
    </row>
    <row r="19" spans="1:4" x14ac:dyDescent="0.35">
      <c r="A19" s="3" t="s">
        <v>13</v>
      </c>
      <c r="B19" s="14">
        <v>677.29999999999927</v>
      </c>
      <c r="C19" s="30">
        <v>46107</v>
      </c>
      <c r="D19" s="3" t="s">
        <v>561</v>
      </c>
    </row>
    <row r="20" spans="1:4" x14ac:dyDescent="0.35">
      <c r="C20" s="30"/>
    </row>
    <row r="21" spans="1:4" x14ac:dyDescent="0.35">
      <c r="C21" s="30"/>
    </row>
    <row r="22" spans="1:4" x14ac:dyDescent="0.35">
      <c r="C22" s="30"/>
    </row>
    <row r="23" spans="1:4" x14ac:dyDescent="0.35">
      <c r="C23" s="30"/>
    </row>
    <row r="24" spans="1:4" x14ac:dyDescent="0.35">
      <c r="C24" s="30"/>
    </row>
    <row r="25" spans="1:4" x14ac:dyDescent="0.35">
      <c r="C25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22C4CD-194A-4180-A646-09E559CA13FD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8C274-3850-4364-82A7-2E7B0F49B5E1}">
  <sheetPr codeName="Sheet42"/>
  <dimension ref="A1:G24"/>
  <sheetViews>
    <sheetView zoomScale="151" workbookViewId="0">
      <selection activeCell="B18" sqref="B18"/>
    </sheetView>
  </sheetViews>
  <sheetFormatPr defaultColWidth="9.140625" defaultRowHeight="18" x14ac:dyDescent="0.35"/>
  <cols>
    <col min="1" max="1" width="15.7109375" style="3" bestFit="1" customWidth="1"/>
    <col min="2" max="2" width="11.7109375" style="14" bestFit="1" customWidth="1"/>
    <col min="3" max="3" width="10.5703125" style="3" bestFit="1" customWidth="1"/>
    <col min="4" max="4" width="33.285156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46107</v>
      </c>
    </row>
    <row r="2" spans="1:7" x14ac:dyDescent="0.35">
      <c r="A2" s="3" t="s">
        <v>13</v>
      </c>
      <c r="B2" s="14">
        <v>-677.29999999999905</v>
      </c>
      <c r="C2" s="30">
        <v>46107</v>
      </c>
      <c r="D2" s="3" t="s">
        <v>586</v>
      </c>
    </row>
    <row r="3" spans="1:7" x14ac:dyDescent="0.35">
      <c r="A3" s="3" t="s">
        <v>40</v>
      </c>
      <c r="B3" s="14">
        <v>4000</v>
      </c>
      <c r="C3" s="30">
        <v>46107</v>
      </c>
      <c r="D3" s="3" t="s">
        <v>492</v>
      </c>
    </row>
    <row r="4" spans="1:7" x14ac:dyDescent="0.35">
      <c r="A4" s="3" t="s">
        <v>8</v>
      </c>
      <c r="B4" s="14">
        <v>1330</v>
      </c>
      <c r="C4" s="30">
        <v>46107</v>
      </c>
      <c r="D4" s="3" t="s">
        <v>587</v>
      </c>
    </row>
    <row r="5" spans="1:7" x14ac:dyDescent="0.35">
      <c r="A5" s="3" t="s">
        <v>10</v>
      </c>
      <c r="B5" s="14">
        <v>2000</v>
      </c>
      <c r="C5" s="30">
        <v>46107</v>
      </c>
      <c r="D5" s="3" t="s">
        <v>588</v>
      </c>
    </row>
    <row r="6" spans="1:7" x14ac:dyDescent="0.35">
      <c r="A6" s="3" t="s">
        <v>17</v>
      </c>
      <c r="B6" s="14">
        <v>270</v>
      </c>
      <c r="C6" s="30">
        <v>46107</v>
      </c>
      <c r="D6" s="3" t="s">
        <v>589</v>
      </c>
    </row>
    <row r="7" spans="1:7" x14ac:dyDescent="0.35">
      <c r="A7" s="3" t="s">
        <v>44</v>
      </c>
      <c r="B7" s="14">
        <v>100</v>
      </c>
      <c r="C7" s="30">
        <v>46107</v>
      </c>
      <c r="D7" s="3" t="s">
        <v>590</v>
      </c>
    </row>
    <row r="8" spans="1:7" x14ac:dyDescent="0.35">
      <c r="A8" s="3" t="s">
        <v>57</v>
      </c>
      <c r="B8" s="14">
        <v>560</v>
      </c>
      <c r="C8" s="30">
        <v>46107</v>
      </c>
      <c r="D8" s="3" t="s">
        <v>591</v>
      </c>
    </row>
    <row r="9" spans="1:7" x14ac:dyDescent="0.35">
      <c r="A9" s="3" t="s">
        <v>31</v>
      </c>
      <c r="B9" s="14">
        <v>300</v>
      </c>
      <c r="C9" s="30">
        <v>46107</v>
      </c>
      <c r="D9" s="3" t="s">
        <v>592</v>
      </c>
    </row>
    <row r="10" spans="1:7" x14ac:dyDescent="0.35">
      <c r="A10" s="3" t="s">
        <v>11</v>
      </c>
      <c r="B10" s="14">
        <v>900</v>
      </c>
      <c r="C10" s="30">
        <v>46107</v>
      </c>
      <c r="D10" s="3" t="s">
        <v>283</v>
      </c>
    </row>
    <row r="11" spans="1:7" x14ac:dyDescent="0.35">
      <c r="A11" s="3" t="s">
        <v>31</v>
      </c>
      <c r="B11" s="14">
        <v>192</v>
      </c>
      <c r="C11" s="30">
        <v>46107</v>
      </c>
      <c r="D11" s="3" t="s">
        <v>593</v>
      </c>
    </row>
    <row r="12" spans="1:7" x14ac:dyDescent="0.35">
      <c r="A12" s="3" t="s">
        <v>85</v>
      </c>
      <c r="B12" s="14">
        <v>20</v>
      </c>
      <c r="C12" s="30">
        <v>46107</v>
      </c>
      <c r="D12" s="3" t="s">
        <v>522</v>
      </c>
    </row>
    <row r="13" spans="1:7" x14ac:dyDescent="0.35">
      <c r="A13" s="3" t="s">
        <v>79</v>
      </c>
      <c r="B13" s="14">
        <v>0.26</v>
      </c>
      <c r="C13" s="30">
        <v>46112</v>
      </c>
      <c r="D13" s="3" t="s">
        <v>594</v>
      </c>
    </row>
    <row r="14" spans="1:7" x14ac:dyDescent="0.35">
      <c r="A14" s="3" t="s">
        <v>41</v>
      </c>
      <c r="B14" s="14">
        <v>-1.28</v>
      </c>
      <c r="C14" s="30">
        <v>46112</v>
      </c>
      <c r="D14" s="3" t="s">
        <v>595</v>
      </c>
    </row>
    <row r="15" spans="1:7" x14ac:dyDescent="0.35">
      <c r="A15" s="3" t="s">
        <v>57</v>
      </c>
      <c r="B15" s="14">
        <v>1000</v>
      </c>
      <c r="C15" s="30">
        <v>46118</v>
      </c>
      <c r="D15" s="3" t="s">
        <v>596</v>
      </c>
    </row>
    <row r="16" spans="1:7" x14ac:dyDescent="0.35">
      <c r="A16" s="3" t="s">
        <v>29</v>
      </c>
      <c r="B16" s="14">
        <v>510</v>
      </c>
      <c r="C16" s="30">
        <v>46118</v>
      </c>
      <c r="D16" s="3" t="s">
        <v>597</v>
      </c>
    </row>
    <row r="17" spans="1:4" x14ac:dyDescent="0.35">
      <c r="A17" s="3" t="s">
        <v>11</v>
      </c>
      <c r="B17" s="14">
        <v>1500</v>
      </c>
      <c r="C17" s="30">
        <v>46118</v>
      </c>
      <c r="D17" s="3" t="s">
        <v>312</v>
      </c>
    </row>
    <row r="18" spans="1:4" x14ac:dyDescent="0.35">
      <c r="A18" s="3" t="s">
        <v>13</v>
      </c>
      <c r="B18" s="14">
        <v>358.64999999999964</v>
      </c>
      <c r="C18" s="30">
        <v>46121</v>
      </c>
      <c r="D18" s="3" t="s">
        <v>598</v>
      </c>
    </row>
    <row r="19" spans="1:4" x14ac:dyDescent="0.35">
      <c r="C19" s="30"/>
    </row>
    <row r="20" spans="1:4" x14ac:dyDescent="0.35">
      <c r="C20" s="30"/>
    </row>
    <row r="21" spans="1:4" x14ac:dyDescent="0.35">
      <c r="C21" s="30"/>
    </row>
    <row r="22" spans="1:4" x14ac:dyDescent="0.35">
      <c r="C22" s="30"/>
    </row>
    <row r="23" spans="1:4" x14ac:dyDescent="0.35">
      <c r="C23" s="30"/>
    </row>
    <row r="24" spans="1:4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99D31C-CE4B-48AE-98A4-B756EABBC640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E1268-F04D-4FC4-A4AE-B3E74ADA86CC}">
  <sheetPr codeName="Sheet43"/>
  <dimension ref="A1:G24"/>
  <sheetViews>
    <sheetView zoomScale="151" workbookViewId="0">
      <selection activeCell="D2" sqref="A2:D2"/>
    </sheetView>
  </sheetViews>
  <sheetFormatPr defaultColWidth="9.140625" defaultRowHeight="18" x14ac:dyDescent="0.35"/>
  <cols>
    <col min="1" max="1" width="16" style="3" customWidth="1"/>
    <col min="2" max="2" width="12.28515625" style="14" customWidth="1"/>
    <col min="3" max="3" width="11.28515625" style="3" bestFit="1" customWidth="1"/>
    <col min="4" max="4" width="48.57031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46121</v>
      </c>
    </row>
    <row r="2" spans="1:7" x14ac:dyDescent="0.35">
      <c r="A2" s="3" t="s">
        <v>13</v>
      </c>
      <c r="B2" s="14">
        <v>-358.65</v>
      </c>
      <c r="C2" s="30">
        <v>46121</v>
      </c>
      <c r="D2" s="3" t="s">
        <v>578</v>
      </c>
    </row>
    <row r="3" spans="1:7" x14ac:dyDescent="0.35">
      <c r="A3" s="3" t="s">
        <v>40</v>
      </c>
      <c r="B3" s="14">
        <v>4000</v>
      </c>
      <c r="C3" s="30">
        <v>46121</v>
      </c>
      <c r="D3" s="3" t="s">
        <v>599</v>
      </c>
    </row>
    <row r="4" spans="1:7" x14ac:dyDescent="0.35">
      <c r="A4" s="3" t="s">
        <v>10</v>
      </c>
      <c r="B4" s="14">
        <v>6324.79</v>
      </c>
      <c r="C4" s="30">
        <v>46121</v>
      </c>
      <c r="D4" s="3" t="s">
        <v>600</v>
      </c>
    </row>
    <row r="5" spans="1:7" x14ac:dyDescent="0.35">
      <c r="A5" s="3" t="s">
        <v>8</v>
      </c>
      <c r="B5" s="14">
        <v>1731.95</v>
      </c>
      <c r="C5" s="30">
        <v>46121</v>
      </c>
      <c r="D5" s="3" t="s">
        <v>601</v>
      </c>
    </row>
    <row r="6" spans="1:7" x14ac:dyDescent="0.35">
      <c r="A6" s="3" t="s">
        <v>85</v>
      </c>
      <c r="B6" s="14">
        <v>10</v>
      </c>
      <c r="C6" s="30">
        <v>46121</v>
      </c>
      <c r="D6" s="3" t="s">
        <v>505</v>
      </c>
    </row>
    <row r="7" spans="1:7" x14ac:dyDescent="0.35">
      <c r="A7" s="3" t="s">
        <v>11</v>
      </c>
      <c r="B7" s="14">
        <v>1500</v>
      </c>
      <c r="C7" s="30">
        <v>46122</v>
      </c>
      <c r="D7" s="3" t="s">
        <v>312</v>
      </c>
    </row>
    <row r="8" spans="1:7" x14ac:dyDescent="0.35">
      <c r="A8" s="3" t="s">
        <v>31</v>
      </c>
      <c r="B8" s="14">
        <v>300</v>
      </c>
      <c r="C8" s="30">
        <v>46122</v>
      </c>
      <c r="D8" s="3" t="s">
        <v>602</v>
      </c>
    </row>
    <row r="9" spans="1:7" x14ac:dyDescent="0.35">
      <c r="A9" s="3" t="s">
        <v>31</v>
      </c>
      <c r="B9" s="14">
        <v>222</v>
      </c>
      <c r="C9" s="30">
        <v>46122</v>
      </c>
      <c r="D9" s="3" t="s">
        <v>603</v>
      </c>
    </row>
    <row r="10" spans="1:7" x14ac:dyDescent="0.35">
      <c r="A10" s="3" t="s">
        <v>76</v>
      </c>
      <c r="B10" s="14">
        <v>232.44</v>
      </c>
      <c r="C10" s="30">
        <v>46125</v>
      </c>
      <c r="D10" s="3" t="s">
        <v>371</v>
      </c>
    </row>
    <row r="11" spans="1:7" x14ac:dyDescent="0.35">
      <c r="A11" s="3" t="s">
        <v>31</v>
      </c>
      <c r="B11" s="14">
        <v>120</v>
      </c>
      <c r="C11" s="30">
        <v>46125</v>
      </c>
      <c r="D11" s="3" t="s">
        <v>604</v>
      </c>
    </row>
    <row r="12" spans="1:7" x14ac:dyDescent="0.35">
      <c r="A12" s="3" t="s">
        <v>84</v>
      </c>
      <c r="B12" s="14">
        <v>-1000</v>
      </c>
      <c r="C12" s="30">
        <v>46128</v>
      </c>
      <c r="D12" s="3" t="s">
        <v>605</v>
      </c>
    </row>
    <row r="13" spans="1:7" x14ac:dyDescent="0.35">
      <c r="A13" s="3" t="s">
        <v>11</v>
      </c>
      <c r="B13" s="14">
        <v>2000</v>
      </c>
      <c r="C13" s="30">
        <v>46128</v>
      </c>
      <c r="D13" s="3" t="s">
        <v>606</v>
      </c>
    </row>
    <row r="14" spans="1:7" x14ac:dyDescent="0.35">
      <c r="A14" s="3" t="s">
        <v>13</v>
      </c>
      <c r="B14" s="14">
        <v>163.98999999999978</v>
      </c>
      <c r="C14" s="30">
        <v>46135</v>
      </c>
      <c r="D14" s="3" t="s">
        <v>499</v>
      </c>
    </row>
    <row r="15" spans="1:7" x14ac:dyDescent="0.35">
      <c r="C15" s="30"/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6B0C03-0E6A-4FAE-B9E4-76E49C0FD2E5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C6A4-4E5A-49F8-A776-35E0FFFD6EAA}">
  <sheetPr codeName="Sheet45"/>
  <dimension ref="A1:G24"/>
  <sheetViews>
    <sheetView topLeftCell="A7" zoomScale="151" workbookViewId="0">
      <selection activeCell="M25" sqref="M25"/>
    </sheetView>
  </sheetViews>
  <sheetFormatPr defaultColWidth="9.140625" defaultRowHeight="18" x14ac:dyDescent="0.35"/>
  <cols>
    <col min="1" max="1" width="13.7109375" style="3" bestFit="1" customWidth="1"/>
    <col min="2" max="2" width="11.7109375" style="14" bestFit="1" customWidth="1"/>
    <col min="3" max="3" width="10.7109375" style="3" bestFit="1" customWidth="1"/>
    <col min="4" max="4" width="25.710937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46135</v>
      </c>
    </row>
    <row r="2" spans="1:7" x14ac:dyDescent="0.35">
      <c r="A2" s="3" t="s">
        <v>13</v>
      </c>
      <c r="B2" s="14">
        <v>-163.99</v>
      </c>
      <c r="C2" s="30">
        <v>46135</v>
      </c>
      <c r="D2" s="3" t="s">
        <v>578</v>
      </c>
    </row>
    <row r="3" spans="1:7" x14ac:dyDescent="0.35">
      <c r="A3" s="3" t="s">
        <v>40</v>
      </c>
      <c r="B3" s="14">
        <v>4000</v>
      </c>
      <c r="C3" s="30">
        <v>46135</v>
      </c>
      <c r="D3" s="3" t="s">
        <v>451</v>
      </c>
    </row>
    <row r="4" spans="1:7" x14ac:dyDescent="0.35">
      <c r="A4" s="3" t="s">
        <v>10</v>
      </c>
      <c r="B4" s="14">
        <v>1182.5</v>
      </c>
      <c r="C4" s="30">
        <v>46135</v>
      </c>
      <c r="D4" s="3" t="s">
        <v>607</v>
      </c>
    </row>
    <row r="5" spans="1:7" x14ac:dyDescent="0.35">
      <c r="A5" s="3" t="s">
        <v>22</v>
      </c>
      <c r="B5" s="14">
        <v>1426.29</v>
      </c>
      <c r="C5" s="30">
        <v>46135</v>
      </c>
      <c r="D5" s="3" t="s">
        <v>608</v>
      </c>
    </row>
    <row r="6" spans="1:7" x14ac:dyDescent="0.35">
      <c r="A6" s="3" t="s">
        <v>8</v>
      </c>
      <c r="B6" s="14">
        <v>3948</v>
      </c>
      <c r="C6" s="30">
        <v>46135</v>
      </c>
      <c r="D6" s="3" t="s">
        <v>609</v>
      </c>
    </row>
    <row r="7" spans="1:7" x14ac:dyDescent="0.35">
      <c r="A7" s="3" t="s">
        <v>48</v>
      </c>
      <c r="B7" s="14">
        <v>1000</v>
      </c>
      <c r="C7" s="30">
        <v>46135</v>
      </c>
      <c r="D7" s="3" t="s">
        <v>48</v>
      </c>
    </row>
    <row r="8" spans="1:7" x14ac:dyDescent="0.35">
      <c r="A8" s="3" t="s">
        <v>36</v>
      </c>
      <c r="B8" s="14">
        <v>1000</v>
      </c>
      <c r="C8" s="30">
        <v>46135</v>
      </c>
      <c r="D8" s="3" t="s">
        <v>610</v>
      </c>
    </row>
    <row r="9" spans="1:7" x14ac:dyDescent="0.35">
      <c r="A9" s="3" t="s">
        <v>59</v>
      </c>
      <c r="B9" s="14">
        <v>1000</v>
      </c>
      <c r="C9" s="30">
        <v>46135</v>
      </c>
      <c r="D9" s="3" t="s">
        <v>611</v>
      </c>
    </row>
    <row r="10" spans="1:7" x14ac:dyDescent="0.35">
      <c r="A10" s="3" t="s">
        <v>88</v>
      </c>
      <c r="B10" s="14">
        <v>460</v>
      </c>
      <c r="C10" s="30">
        <v>46138</v>
      </c>
      <c r="D10" s="3" t="s">
        <v>524</v>
      </c>
    </row>
    <row r="11" spans="1:7" x14ac:dyDescent="0.35">
      <c r="A11" s="3" t="s">
        <v>85</v>
      </c>
      <c r="B11" s="14">
        <v>10</v>
      </c>
      <c r="C11" s="30">
        <v>46139</v>
      </c>
      <c r="D11" s="3" t="s">
        <v>612</v>
      </c>
    </row>
    <row r="12" spans="1:7" x14ac:dyDescent="0.35">
      <c r="A12" s="3" t="s">
        <v>3</v>
      </c>
      <c r="B12" s="14">
        <v>225</v>
      </c>
      <c r="C12" s="30">
        <v>46139</v>
      </c>
      <c r="D12" s="3" t="s">
        <v>613</v>
      </c>
    </row>
    <row r="13" spans="1:7" x14ac:dyDescent="0.35">
      <c r="A13" s="3" t="s">
        <v>48</v>
      </c>
      <c r="B13" s="14">
        <v>500</v>
      </c>
      <c r="C13" s="30">
        <v>46139</v>
      </c>
      <c r="D13" s="3" t="s">
        <v>48</v>
      </c>
    </row>
    <row r="14" spans="1:7" x14ac:dyDescent="0.35">
      <c r="A14" s="3" t="s">
        <v>11</v>
      </c>
      <c r="B14" s="14">
        <v>1000</v>
      </c>
      <c r="C14" s="30">
        <v>46139</v>
      </c>
      <c r="D14" s="3" t="s">
        <v>312</v>
      </c>
    </row>
    <row r="15" spans="1:7" x14ac:dyDescent="0.35">
      <c r="A15" s="3" t="s">
        <v>11</v>
      </c>
      <c r="B15" s="14">
        <v>510</v>
      </c>
      <c r="C15" s="30">
        <v>46140</v>
      </c>
      <c r="D15" s="3" t="s">
        <v>312</v>
      </c>
    </row>
    <row r="16" spans="1:7" x14ac:dyDescent="0.35">
      <c r="A16" s="3" t="s">
        <v>93</v>
      </c>
      <c r="B16" s="14">
        <v>18</v>
      </c>
      <c r="C16" s="30">
        <v>46140</v>
      </c>
      <c r="D16" s="3" t="s">
        <v>363</v>
      </c>
    </row>
    <row r="17" spans="1:4" x14ac:dyDescent="0.35">
      <c r="A17" s="3" t="s">
        <v>85</v>
      </c>
      <c r="B17" s="14">
        <v>10</v>
      </c>
      <c r="C17" s="30">
        <v>46146</v>
      </c>
      <c r="D17" s="3" t="s">
        <v>614</v>
      </c>
    </row>
    <row r="18" spans="1:4" x14ac:dyDescent="0.35">
      <c r="A18" s="3" t="s">
        <v>93</v>
      </c>
      <c r="B18" s="14">
        <v>36</v>
      </c>
      <c r="C18" s="30">
        <v>46146</v>
      </c>
      <c r="D18" s="3" t="s">
        <v>363</v>
      </c>
    </row>
    <row r="19" spans="1:4" x14ac:dyDescent="0.35">
      <c r="A19" s="3" t="s">
        <v>84</v>
      </c>
      <c r="B19" s="14">
        <v>100</v>
      </c>
      <c r="C19" s="30">
        <v>46148</v>
      </c>
      <c r="D19" s="3" t="s">
        <v>615</v>
      </c>
    </row>
    <row r="20" spans="1:4" x14ac:dyDescent="0.35">
      <c r="A20" s="3" t="s">
        <v>72</v>
      </c>
      <c r="B20" s="14">
        <v>1000</v>
      </c>
      <c r="C20" s="30">
        <v>46149</v>
      </c>
      <c r="D20" s="3" t="s">
        <v>72</v>
      </c>
    </row>
    <row r="21" spans="1:4" x14ac:dyDescent="0.35">
      <c r="A21" s="3" t="s">
        <v>13</v>
      </c>
      <c r="B21" s="14">
        <v>187.45000000000073</v>
      </c>
      <c r="C21" s="30">
        <v>46149</v>
      </c>
      <c r="D21" s="3" t="s">
        <v>616</v>
      </c>
    </row>
    <row r="22" spans="1:4" x14ac:dyDescent="0.35">
      <c r="C22" s="30"/>
    </row>
    <row r="23" spans="1:4" x14ac:dyDescent="0.35">
      <c r="C23" s="30"/>
    </row>
    <row r="24" spans="1:4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89C6DA9-56D0-46B9-973F-9F9B5CDB58A6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BE946-B9D6-4DAC-80BE-A85CACB31D3B}">
  <sheetPr codeName="Sheet49"/>
  <dimension ref="A1:G24"/>
  <sheetViews>
    <sheetView zoomScale="151" workbookViewId="0">
      <selection activeCell="D14" sqref="D14"/>
    </sheetView>
  </sheetViews>
  <sheetFormatPr defaultColWidth="9.140625" defaultRowHeight="18" x14ac:dyDescent="0.35"/>
  <cols>
    <col min="1" max="1" width="15" style="3" bestFit="1" customWidth="1"/>
    <col min="2" max="2" width="11.7109375" style="14" bestFit="1" customWidth="1"/>
    <col min="3" max="3" width="10.7109375" style="3" bestFit="1" customWidth="1"/>
    <col min="4" max="4" width="25.5703125" style="3" bestFit="1" customWidth="1"/>
    <col min="5" max="5" width="9.42578125" style="3" bestFit="1" customWidth="1"/>
    <col min="6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46177</v>
      </c>
    </row>
    <row r="2" spans="1:7" x14ac:dyDescent="0.35">
      <c r="A2" s="3" t="s">
        <v>23</v>
      </c>
      <c r="B2" s="14">
        <v>815</v>
      </c>
      <c r="C2" s="30">
        <v>46177</v>
      </c>
      <c r="D2" s="3" t="s">
        <v>617</v>
      </c>
    </row>
    <row r="3" spans="1:7" x14ac:dyDescent="0.35">
      <c r="A3" s="3" t="s">
        <v>33</v>
      </c>
      <c r="B3" s="14">
        <v>1000</v>
      </c>
      <c r="C3" s="30">
        <v>46177</v>
      </c>
      <c r="D3" s="3" t="s">
        <v>618</v>
      </c>
    </row>
    <row r="4" spans="1:7" x14ac:dyDescent="0.35">
      <c r="A4" s="3" t="s">
        <v>36</v>
      </c>
      <c r="B4" s="14">
        <v>1500</v>
      </c>
      <c r="C4" s="30">
        <v>46177</v>
      </c>
      <c r="D4" s="3" t="s">
        <v>610</v>
      </c>
    </row>
    <row r="5" spans="1:7" x14ac:dyDescent="0.35">
      <c r="A5" s="3" t="s">
        <v>59</v>
      </c>
      <c r="B5" s="14">
        <v>1000</v>
      </c>
      <c r="C5" s="30">
        <v>46177</v>
      </c>
      <c r="D5" s="3" t="s">
        <v>611</v>
      </c>
    </row>
    <row r="6" spans="1:7" x14ac:dyDescent="0.35">
      <c r="A6" s="3" t="s">
        <v>63</v>
      </c>
      <c r="B6" s="14">
        <v>4000</v>
      </c>
      <c r="C6" s="30">
        <v>46178</v>
      </c>
      <c r="D6" s="3" t="s">
        <v>619</v>
      </c>
      <c r="F6"/>
    </row>
    <row r="7" spans="1:7" x14ac:dyDescent="0.35">
      <c r="A7" s="3" t="s">
        <v>36</v>
      </c>
      <c r="B7" s="14">
        <v>500</v>
      </c>
      <c r="C7" s="30">
        <v>46184</v>
      </c>
      <c r="D7" s="3" t="s">
        <v>620</v>
      </c>
    </row>
    <row r="8" spans="1:7" x14ac:dyDescent="0.35">
      <c r="A8" s="3" t="s">
        <v>36</v>
      </c>
      <c r="B8" s="14">
        <v>500</v>
      </c>
      <c r="C8" s="30">
        <v>46185</v>
      </c>
      <c r="D8" s="3" t="s">
        <v>621</v>
      </c>
    </row>
    <row r="9" spans="1:7" x14ac:dyDescent="0.35">
      <c r="A9" s="3" t="s">
        <v>85</v>
      </c>
      <c r="B9" s="14">
        <v>10</v>
      </c>
      <c r="C9" s="30">
        <v>46185</v>
      </c>
      <c r="D9" s="3" t="s">
        <v>622</v>
      </c>
    </row>
    <row r="10" spans="1:7" x14ac:dyDescent="0.35">
      <c r="A10" s="3" t="s">
        <v>22</v>
      </c>
      <c r="C10" s="30">
        <v>46187</v>
      </c>
      <c r="D10" s="3" t="s">
        <v>737</v>
      </c>
      <c r="E10" s="3">
        <v>7973.57</v>
      </c>
    </row>
    <row r="11" spans="1:7" x14ac:dyDescent="0.35">
      <c r="A11" s="3" t="s">
        <v>738</v>
      </c>
      <c r="B11" s="14">
        <v>2000</v>
      </c>
      <c r="C11" s="30">
        <v>46189</v>
      </c>
      <c r="D11" s="3" t="s">
        <v>739</v>
      </c>
    </row>
    <row r="12" spans="1:7" x14ac:dyDescent="0.35">
      <c r="A12" s="3" t="s">
        <v>63</v>
      </c>
      <c r="B12" s="14">
        <v>1345.24</v>
      </c>
      <c r="C12" s="30">
        <v>46191</v>
      </c>
      <c r="D12" s="3" t="s">
        <v>746</v>
      </c>
    </row>
    <row r="13" spans="1:7" x14ac:dyDescent="0.35">
      <c r="A13" s="3" t="s">
        <v>31</v>
      </c>
      <c r="B13" s="14">
        <v>200</v>
      </c>
      <c r="C13" s="30">
        <v>46196</v>
      </c>
      <c r="D13" s="3" t="s">
        <v>749</v>
      </c>
    </row>
    <row r="14" spans="1:7" x14ac:dyDescent="0.35">
      <c r="C14" s="30"/>
    </row>
    <row r="15" spans="1:7" x14ac:dyDescent="0.35">
      <c r="C15" s="30"/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FD39615-2B47-44D5-B8CB-F1826FC04DF2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92F6C-BF60-4E39-89FA-820789887BC8}">
  <sheetPr codeName="Sheet46"/>
  <dimension ref="A1:G24"/>
  <sheetViews>
    <sheetView zoomScale="151" workbookViewId="0">
      <selection activeCell="F29" sqref="F29"/>
    </sheetView>
  </sheetViews>
  <sheetFormatPr defaultColWidth="9.140625" defaultRowHeight="18" x14ac:dyDescent="0.35"/>
  <cols>
    <col min="1" max="1" width="15" style="3" bestFit="1" customWidth="1"/>
    <col min="2" max="2" width="12.85546875" style="14" bestFit="1" customWidth="1"/>
    <col min="3" max="3" width="9.85546875" style="3" bestFit="1" customWidth="1"/>
    <col min="4" max="4" width="29.425781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46149</v>
      </c>
    </row>
    <row r="2" spans="1:7" x14ac:dyDescent="0.35">
      <c r="A2" s="3" t="s">
        <v>13</v>
      </c>
      <c r="B2" s="14">
        <v>-187.45000000000101</v>
      </c>
      <c r="C2" s="30">
        <v>46149</v>
      </c>
      <c r="D2" s="3" t="s">
        <v>623</v>
      </c>
    </row>
    <row r="3" spans="1:7" x14ac:dyDescent="0.35">
      <c r="A3" s="3" t="s">
        <v>13</v>
      </c>
      <c r="B3" s="14">
        <v>-34.930000000000298</v>
      </c>
      <c r="C3" s="30">
        <v>46149</v>
      </c>
      <c r="D3" s="3" t="s">
        <v>624</v>
      </c>
    </row>
    <row r="4" spans="1:7" x14ac:dyDescent="0.35">
      <c r="A4" s="3" t="s">
        <v>3</v>
      </c>
      <c r="B4" s="14">
        <v>1000</v>
      </c>
      <c r="C4" s="30">
        <v>46149</v>
      </c>
      <c r="D4" s="3" t="s">
        <v>625</v>
      </c>
    </row>
    <row r="5" spans="1:7" x14ac:dyDescent="0.35">
      <c r="A5" s="3" t="s">
        <v>40</v>
      </c>
      <c r="B5" s="14">
        <v>4000</v>
      </c>
      <c r="C5" s="30">
        <v>46149</v>
      </c>
      <c r="D5" s="3" t="s">
        <v>626</v>
      </c>
    </row>
    <row r="6" spans="1:7" x14ac:dyDescent="0.35">
      <c r="A6" s="3" t="s">
        <v>8</v>
      </c>
      <c r="B6" s="14">
        <v>5328.3399999999965</v>
      </c>
      <c r="C6" s="30">
        <v>46149</v>
      </c>
      <c r="D6" s="3" t="s">
        <v>627</v>
      </c>
    </row>
    <row r="7" spans="1:7" x14ac:dyDescent="0.35">
      <c r="A7" s="3" t="s">
        <v>10</v>
      </c>
      <c r="B7" s="14">
        <v>187</v>
      </c>
      <c r="C7" s="30">
        <v>46149</v>
      </c>
      <c r="D7" s="3" t="s">
        <v>628</v>
      </c>
    </row>
    <row r="8" spans="1:7" x14ac:dyDescent="0.35">
      <c r="A8" s="3" t="s">
        <v>85</v>
      </c>
      <c r="B8" s="14">
        <v>10</v>
      </c>
      <c r="C8" s="30">
        <v>46149</v>
      </c>
      <c r="D8" s="3" t="s">
        <v>629</v>
      </c>
    </row>
    <row r="9" spans="1:7" x14ac:dyDescent="0.35">
      <c r="A9" s="3" t="s">
        <v>11</v>
      </c>
      <c r="B9" s="14">
        <v>1010</v>
      </c>
      <c r="C9" s="30">
        <v>46150</v>
      </c>
      <c r="D9" s="3" t="s">
        <v>312</v>
      </c>
    </row>
    <row r="10" spans="1:7" x14ac:dyDescent="0.35">
      <c r="A10" s="3" t="s">
        <v>31</v>
      </c>
      <c r="B10" s="14">
        <v>120</v>
      </c>
      <c r="C10" s="30">
        <v>46153</v>
      </c>
      <c r="D10" s="3" t="s">
        <v>567</v>
      </c>
    </row>
    <row r="11" spans="1:7" x14ac:dyDescent="0.35">
      <c r="A11" s="3" t="s">
        <v>76</v>
      </c>
      <c r="B11" s="14">
        <v>232.44</v>
      </c>
      <c r="C11" s="30">
        <v>46153</v>
      </c>
      <c r="D11" s="3" t="s">
        <v>371</v>
      </c>
    </row>
    <row r="12" spans="1:7" x14ac:dyDescent="0.35">
      <c r="A12" s="3" t="s">
        <v>48</v>
      </c>
      <c r="B12" s="14">
        <v>1000</v>
      </c>
      <c r="C12" s="30">
        <v>46160</v>
      </c>
      <c r="D12" s="3" t="s">
        <v>48</v>
      </c>
    </row>
    <row r="13" spans="1:7" x14ac:dyDescent="0.35">
      <c r="A13" s="3" t="s">
        <v>13</v>
      </c>
      <c r="B13" s="14">
        <v>447.45000000000437</v>
      </c>
      <c r="C13" s="30">
        <v>46163</v>
      </c>
      <c r="D13" s="3" t="s">
        <v>630</v>
      </c>
    </row>
    <row r="14" spans="1:7" x14ac:dyDescent="0.35">
      <c r="C14" s="30"/>
    </row>
    <row r="15" spans="1:7" x14ac:dyDescent="0.35">
      <c r="C15" s="30"/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EBD634-94DA-4BA7-ACE7-70FE1A75FAB7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C3131-05B6-4C29-A1A9-AD8D0042FD19}">
  <sheetPr codeName="Sheet47"/>
  <dimension ref="A1:G24"/>
  <sheetViews>
    <sheetView zoomScale="260" workbookViewId="0">
      <selection activeCell="D15" sqref="D15"/>
    </sheetView>
  </sheetViews>
  <sheetFormatPr defaultColWidth="9.140625" defaultRowHeight="18" x14ac:dyDescent="0.35"/>
  <cols>
    <col min="1" max="1" width="15.7109375" style="3" bestFit="1" customWidth="1"/>
    <col min="2" max="2" width="11.7109375" style="14" bestFit="1" customWidth="1"/>
    <col min="3" max="3" width="10.5703125" style="3" bestFit="1" customWidth="1"/>
    <col min="4" max="4" width="26.28515625" style="3" bestFit="1" customWidth="1"/>
    <col min="5" max="5" width="10.5703125" style="3" bestFit="1" customWidth="1"/>
    <col min="6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46163</v>
      </c>
    </row>
    <row r="2" spans="1:7" x14ac:dyDescent="0.35">
      <c r="A2" s="3" t="s">
        <v>13</v>
      </c>
      <c r="B2" s="14">
        <v>-447.45000000000402</v>
      </c>
      <c r="C2" s="30">
        <v>46163</v>
      </c>
      <c r="D2" s="3" t="s">
        <v>631</v>
      </c>
    </row>
    <row r="3" spans="1:7" x14ac:dyDescent="0.35">
      <c r="A3" s="3" t="s">
        <v>40</v>
      </c>
      <c r="B3" s="14">
        <v>4000</v>
      </c>
      <c r="C3" s="30">
        <v>46163</v>
      </c>
      <c r="D3" s="3" t="s">
        <v>484</v>
      </c>
    </row>
    <row r="4" spans="1:7" x14ac:dyDescent="0.35">
      <c r="A4" s="3" t="s">
        <v>36</v>
      </c>
      <c r="B4" s="14">
        <v>500</v>
      </c>
      <c r="C4" s="30">
        <v>46163</v>
      </c>
      <c r="D4" s="3" t="s">
        <v>632</v>
      </c>
      <c r="E4" s="14"/>
    </row>
    <row r="5" spans="1:7" x14ac:dyDescent="0.35">
      <c r="A5" s="3" t="s">
        <v>8</v>
      </c>
      <c r="B5" s="14">
        <f>1341.09+269.49+428</f>
        <v>2038.58</v>
      </c>
      <c r="C5" s="30">
        <v>46163</v>
      </c>
      <c r="D5" s="3" t="s">
        <v>633</v>
      </c>
    </row>
    <row r="6" spans="1:7" x14ac:dyDescent="0.35">
      <c r="A6" s="3" t="s">
        <v>10</v>
      </c>
      <c r="B6" s="14">
        <v>1182.5</v>
      </c>
      <c r="C6" s="30">
        <v>46163</v>
      </c>
      <c r="D6" s="3" t="s">
        <v>634</v>
      </c>
    </row>
    <row r="7" spans="1:7" x14ac:dyDescent="0.35">
      <c r="A7" s="3" t="s">
        <v>59</v>
      </c>
      <c r="B7" s="14">
        <v>500</v>
      </c>
      <c r="C7" s="30">
        <v>46163</v>
      </c>
      <c r="D7" s="3" t="s">
        <v>611</v>
      </c>
    </row>
    <row r="8" spans="1:7" x14ac:dyDescent="0.35">
      <c r="A8" s="3" t="s">
        <v>59</v>
      </c>
      <c r="B8" s="14">
        <v>300</v>
      </c>
      <c r="C8" s="30">
        <v>46163</v>
      </c>
      <c r="D8" s="3" t="s">
        <v>516</v>
      </c>
    </row>
    <row r="9" spans="1:7" x14ac:dyDescent="0.35">
      <c r="A9" s="3" t="s">
        <v>28</v>
      </c>
      <c r="B9" s="14">
        <v>1000</v>
      </c>
      <c r="C9" s="30">
        <v>46163</v>
      </c>
      <c r="D9" s="3" t="s">
        <v>28</v>
      </c>
    </row>
    <row r="10" spans="1:7" x14ac:dyDescent="0.35">
      <c r="A10" s="3" t="s">
        <v>17</v>
      </c>
      <c r="B10" s="14">
        <v>325</v>
      </c>
      <c r="C10" s="30">
        <v>46163</v>
      </c>
      <c r="D10" s="3" t="s">
        <v>456</v>
      </c>
    </row>
    <row r="11" spans="1:7" x14ac:dyDescent="0.35">
      <c r="A11" s="3" t="s">
        <v>85</v>
      </c>
      <c r="B11" s="14">
        <v>10</v>
      </c>
      <c r="C11" s="30">
        <v>46163</v>
      </c>
      <c r="D11" s="3" t="s">
        <v>635</v>
      </c>
    </row>
    <row r="12" spans="1:7" x14ac:dyDescent="0.35">
      <c r="A12" s="3" t="s">
        <v>11</v>
      </c>
      <c r="B12" s="14">
        <v>1000</v>
      </c>
      <c r="C12" s="30">
        <v>46164</v>
      </c>
      <c r="D12" s="3" t="s">
        <v>312</v>
      </c>
    </row>
    <row r="13" spans="1:7" x14ac:dyDescent="0.35">
      <c r="A13" s="3" t="s">
        <v>11</v>
      </c>
      <c r="B13" s="14">
        <v>1000</v>
      </c>
      <c r="C13" s="30">
        <v>46170</v>
      </c>
      <c r="D13" s="3" t="s">
        <v>312</v>
      </c>
    </row>
    <row r="14" spans="1:7" x14ac:dyDescent="0.35">
      <c r="A14" s="3" t="s">
        <v>31</v>
      </c>
      <c r="B14" s="14">
        <v>199</v>
      </c>
      <c r="C14" s="30">
        <v>46170</v>
      </c>
      <c r="D14" s="3" t="s">
        <v>636</v>
      </c>
    </row>
    <row r="15" spans="1:7" x14ac:dyDescent="0.35">
      <c r="A15" s="3" t="s">
        <v>31</v>
      </c>
      <c r="B15" s="14">
        <v>182</v>
      </c>
      <c r="C15" s="30">
        <v>46170</v>
      </c>
      <c r="D15" s="3" t="s">
        <v>637</v>
      </c>
    </row>
    <row r="16" spans="1:7" x14ac:dyDescent="0.35">
      <c r="A16" s="3" t="s">
        <v>13</v>
      </c>
      <c r="B16" s="14">
        <v>141.35</v>
      </c>
      <c r="C16" s="30">
        <v>46177</v>
      </c>
      <c r="D16" s="3" t="s">
        <v>616</v>
      </c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793420-6B8F-44EC-9788-EF4072F50504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0AA2D-8176-4223-99C4-CD92C7CD6CBA}">
  <sheetPr codeName="Sheet48"/>
  <dimension ref="A1:G24"/>
  <sheetViews>
    <sheetView zoomScale="151" workbookViewId="0">
      <selection activeCell="B16" sqref="B16"/>
    </sheetView>
  </sheetViews>
  <sheetFormatPr defaultColWidth="9.140625" defaultRowHeight="18" x14ac:dyDescent="0.35"/>
  <cols>
    <col min="1" max="1" width="15" style="3" bestFit="1" customWidth="1"/>
    <col min="2" max="2" width="11.7109375" style="14" bestFit="1" customWidth="1"/>
    <col min="3" max="3" width="10.140625" style="3" bestFit="1" customWidth="1"/>
    <col min="4" max="4" width="40.425781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46177</v>
      </c>
    </row>
    <row r="2" spans="1:7" x14ac:dyDescent="0.35">
      <c r="A2" s="28" t="s">
        <v>13</v>
      </c>
      <c r="B2" s="36">
        <v>-141.35</v>
      </c>
      <c r="C2" s="37">
        <v>46177</v>
      </c>
      <c r="D2" s="38" t="s">
        <v>631</v>
      </c>
      <c r="E2" s="14"/>
    </row>
    <row r="3" spans="1:7" x14ac:dyDescent="0.35">
      <c r="A3" s="27" t="s">
        <v>40</v>
      </c>
      <c r="B3" s="39">
        <v>4000</v>
      </c>
      <c r="C3" s="37">
        <v>46177</v>
      </c>
      <c r="D3" s="40" t="s">
        <v>182</v>
      </c>
    </row>
    <row r="4" spans="1:7" x14ac:dyDescent="0.35">
      <c r="A4" s="28" t="s">
        <v>8</v>
      </c>
      <c r="B4" s="36">
        <f>5269.3-1000-815</f>
        <v>3454.3</v>
      </c>
      <c r="C4" s="37">
        <v>46177</v>
      </c>
      <c r="D4" s="38" t="s">
        <v>638</v>
      </c>
    </row>
    <row r="5" spans="1:7" x14ac:dyDescent="0.35">
      <c r="A5" s="27" t="s">
        <v>88</v>
      </c>
      <c r="B5" s="39">
        <v>450</v>
      </c>
      <c r="C5" s="37">
        <v>46177</v>
      </c>
      <c r="D5" s="40" t="s">
        <v>88</v>
      </c>
    </row>
    <row r="6" spans="1:7" x14ac:dyDescent="0.35">
      <c r="A6" s="28" t="s">
        <v>11</v>
      </c>
      <c r="B6" s="36">
        <v>700</v>
      </c>
      <c r="C6" s="37">
        <v>46177</v>
      </c>
      <c r="D6" s="38" t="s">
        <v>312</v>
      </c>
    </row>
    <row r="7" spans="1:7" x14ac:dyDescent="0.35">
      <c r="A7" s="27" t="s">
        <v>59</v>
      </c>
      <c r="B7" s="39">
        <f>1800-450</f>
        <v>1350</v>
      </c>
      <c r="C7" s="37">
        <v>46177</v>
      </c>
      <c r="D7" s="40" t="s">
        <v>639</v>
      </c>
    </row>
    <row r="8" spans="1:7" x14ac:dyDescent="0.35">
      <c r="A8" s="28" t="s">
        <v>59</v>
      </c>
      <c r="B8" s="36">
        <v>300</v>
      </c>
      <c r="C8" s="37">
        <v>46177</v>
      </c>
      <c r="D8" s="38" t="s">
        <v>516</v>
      </c>
    </row>
    <row r="9" spans="1:7" x14ac:dyDescent="0.35">
      <c r="A9" s="3" t="s">
        <v>17</v>
      </c>
      <c r="B9" s="14">
        <v>180</v>
      </c>
      <c r="C9" s="37">
        <v>46177</v>
      </c>
      <c r="D9" s="3" t="s">
        <v>490</v>
      </c>
    </row>
    <row r="10" spans="1:7" x14ac:dyDescent="0.35">
      <c r="A10" s="3" t="s">
        <v>31</v>
      </c>
      <c r="B10" s="14">
        <f>90+55+10+40+24+37+40</f>
        <v>296</v>
      </c>
      <c r="C10" s="37">
        <v>46177</v>
      </c>
      <c r="D10" s="3" t="s">
        <v>640</v>
      </c>
    </row>
    <row r="11" spans="1:7" x14ac:dyDescent="0.35">
      <c r="A11" s="3" t="s">
        <v>85</v>
      </c>
      <c r="B11" s="14">
        <v>10</v>
      </c>
      <c r="C11" s="37">
        <v>46177</v>
      </c>
      <c r="D11" s="3" t="s">
        <v>512</v>
      </c>
    </row>
    <row r="12" spans="1:7" x14ac:dyDescent="0.35">
      <c r="A12" s="3" t="s">
        <v>3</v>
      </c>
      <c r="B12" s="14">
        <v>235</v>
      </c>
      <c r="C12" s="30">
        <v>46178</v>
      </c>
      <c r="D12" s="3" t="s">
        <v>491</v>
      </c>
    </row>
    <row r="13" spans="1:7" x14ac:dyDescent="0.35">
      <c r="A13" s="3" t="s">
        <v>76</v>
      </c>
      <c r="B13" s="14">
        <v>232.44</v>
      </c>
      <c r="C13" s="30">
        <v>46184</v>
      </c>
      <c r="D13" s="3" t="s">
        <v>641</v>
      </c>
    </row>
    <row r="14" spans="1:7" x14ac:dyDescent="0.35">
      <c r="A14" s="3" t="s">
        <v>11</v>
      </c>
      <c r="B14" s="14">
        <v>500</v>
      </c>
      <c r="C14" s="30">
        <v>46184</v>
      </c>
      <c r="D14" s="3" t="s">
        <v>312</v>
      </c>
    </row>
    <row r="15" spans="1:7" x14ac:dyDescent="0.35">
      <c r="A15" s="3" t="s">
        <v>15</v>
      </c>
      <c r="B15" s="14">
        <v>800</v>
      </c>
      <c r="C15" s="30">
        <v>46185</v>
      </c>
      <c r="D15" s="3" t="s">
        <v>15</v>
      </c>
    </row>
    <row r="16" spans="1:7" x14ac:dyDescent="0.35">
      <c r="A16" s="3" t="s">
        <v>72</v>
      </c>
      <c r="B16" s="14">
        <v>1000</v>
      </c>
      <c r="C16" s="30">
        <v>46191</v>
      </c>
      <c r="D16" s="3" t="s">
        <v>430</v>
      </c>
    </row>
    <row r="17" spans="1:4" x14ac:dyDescent="0.35">
      <c r="A17" s="3" t="s">
        <v>13</v>
      </c>
      <c r="B17" s="14">
        <v>3.58</v>
      </c>
      <c r="C17" s="30">
        <v>46191</v>
      </c>
      <c r="D17" s="3" t="s">
        <v>561</v>
      </c>
    </row>
    <row r="18" spans="1:4" x14ac:dyDescent="0.35">
      <c r="C18" s="30"/>
    </row>
    <row r="19" spans="1:4" x14ac:dyDescent="0.35">
      <c r="C19" s="30"/>
    </row>
    <row r="20" spans="1:4" x14ac:dyDescent="0.35">
      <c r="C20" s="30"/>
    </row>
    <row r="21" spans="1:4" x14ac:dyDescent="0.35">
      <c r="C21" s="30"/>
    </row>
    <row r="22" spans="1:4" x14ac:dyDescent="0.35">
      <c r="C22" s="30"/>
    </row>
    <row r="23" spans="1:4" x14ac:dyDescent="0.35">
      <c r="C23" s="30"/>
    </row>
    <row r="24" spans="1:4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269B36E-75C9-40BE-B722-C953F2AD1A2B}">
          <x14:formula1>
            <xm:f>'Dropdown Expenses'!$A:$A</xm:f>
          </x14:formula1>
          <xm:sqref>A9:A1048576</xm:sqref>
        </x14:dataValidation>
        <x14:dataValidation type="list" allowBlank="1" showInputMessage="1" showErrorMessage="1" xr:uid="{41F16C43-EE53-4868-B03C-3A024B6DC391}">
          <x14:formula1>
            <xm:f>'Dropdown Expenses'!#REF!</xm:f>
          </x14:formula1>
          <xm:sqref>A2:A8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AF9BC-A470-4CA3-A9CC-FFEDA91BAE47}">
  <sheetPr codeName="Sheet50"/>
  <dimension ref="A1:G24"/>
  <sheetViews>
    <sheetView zoomScale="205" zoomScaleNormal="205" workbookViewId="0">
      <selection activeCell="B4" sqref="B4"/>
    </sheetView>
  </sheetViews>
  <sheetFormatPr defaultColWidth="9.140625" defaultRowHeight="18" x14ac:dyDescent="0.35"/>
  <cols>
    <col min="1" max="1" width="15.7109375" style="3" bestFit="1" customWidth="1"/>
    <col min="2" max="2" width="12.85546875" style="14" bestFit="1" customWidth="1"/>
    <col min="3" max="3" width="10.28515625" style="3" bestFit="1" customWidth="1"/>
    <col min="4" max="4" width="53.8554687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46191</v>
      </c>
    </row>
    <row r="2" spans="1:7" x14ac:dyDescent="0.35">
      <c r="A2" s="3" t="s">
        <v>13</v>
      </c>
      <c r="B2" s="14">
        <v>-3.58</v>
      </c>
      <c r="C2" s="30">
        <v>46191</v>
      </c>
      <c r="D2" s="3" t="s">
        <v>623</v>
      </c>
    </row>
    <row r="3" spans="1:7" x14ac:dyDescent="0.35">
      <c r="A3" s="3" t="s">
        <v>40</v>
      </c>
      <c r="B3" s="14">
        <v>4000</v>
      </c>
      <c r="C3" s="30">
        <v>46191</v>
      </c>
      <c r="D3" s="3" t="s">
        <v>182</v>
      </c>
    </row>
    <row r="4" spans="1:7" x14ac:dyDescent="0.35">
      <c r="A4" s="3" t="s">
        <v>31</v>
      </c>
      <c r="B4" s="14">
        <v>300</v>
      </c>
      <c r="C4" s="30">
        <v>46191</v>
      </c>
      <c r="D4" s="3" t="s">
        <v>740</v>
      </c>
    </row>
    <row r="5" spans="1:7" x14ac:dyDescent="0.35">
      <c r="A5" s="3" t="s">
        <v>31</v>
      </c>
      <c r="B5" s="14">
        <v>293</v>
      </c>
      <c r="C5" s="30">
        <v>46191</v>
      </c>
      <c r="D5" s="3" t="s">
        <v>741</v>
      </c>
    </row>
    <row r="6" spans="1:7" x14ac:dyDescent="0.35">
      <c r="A6" s="3" t="s">
        <v>736</v>
      </c>
      <c r="B6" s="14">
        <v>269</v>
      </c>
      <c r="C6" s="30">
        <v>46191</v>
      </c>
      <c r="D6" s="3" t="s">
        <v>742</v>
      </c>
    </row>
    <row r="7" spans="1:7" x14ac:dyDescent="0.35">
      <c r="A7" s="3" t="s">
        <v>8</v>
      </c>
      <c r="B7" s="14">
        <f>10527.57-7973.57</f>
        <v>2554</v>
      </c>
      <c r="C7" s="30">
        <v>46191</v>
      </c>
      <c r="D7" s="3" t="s">
        <v>743</v>
      </c>
    </row>
    <row r="8" spans="1:7" x14ac:dyDescent="0.35">
      <c r="A8" s="3" t="s">
        <v>10</v>
      </c>
      <c r="B8" s="14">
        <v>3492.5</v>
      </c>
      <c r="C8" s="30">
        <v>46191</v>
      </c>
      <c r="D8" s="3" t="s">
        <v>744</v>
      </c>
    </row>
    <row r="9" spans="1:7" x14ac:dyDescent="0.35">
      <c r="A9" s="3" t="s">
        <v>11</v>
      </c>
      <c r="B9" s="14">
        <v>1000</v>
      </c>
      <c r="C9" s="30">
        <v>46191</v>
      </c>
      <c r="D9" s="3" t="s">
        <v>312</v>
      </c>
    </row>
    <row r="10" spans="1:7" x14ac:dyDescent="0.35">
      <c r="A10" s="3" t="s">
        <v>59</v>
      </c>
      <c r="B10" s="14">
        <v>500</v>
      </c>
      <c r="C10" s="30">
        <v>46191</v>
      </c>
      <c r="D10" s="3" t="s">
        <v>745</v>
      </c>
    </row>
    <row r="11" spans="1:7" x14ac:dyDescent="0.35">
      <c r="A11" s="3" t="s">
        <v>85</v>
      </c>
      <c r="B11" s="14">
        <v>10</v>
      </c>
      <c r="C11" s="30">
        <v>46191</v>
      </c>
      <c r="D11" s="3" t="s">
        <v>522</v>
      </c>
    </row>
    <row r="12" spans="1:7" x14ac:dyDescent="0.35">
      <c r="A12" s="3" t="s">
        <v>31</v>
      </c>
      <c r="B12" s="14">
        <v>150</v>
      </c>
      <c r="C12" s="30">
        <v>46191</v>
      </c>
      <c r="D12" s="3" t="s">
        <v>637</v>
      </c>
    </row>
    <row r="13" spans="1:7" x14ac:dyDescent="0.35">
      <c r="C13" s="30"/>
    </row>
    <row r="14" spans="1:7" x14ac:dyDescent="0.35">
      <c r="C14" s="30"/>
    </row>
    <row r="15" spans="1:7" x14ac:dyDescent="0.35">
      <c r="C15" s="30"/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A26384-5F0C-4480-A51B-999D3260FFBA}">
          <x14:formula1>
            <xm:f>'Dropdown Expenses'!$A:$A</xm:f>
          </x14:formula1>
          <xm:sqref>A2:A1048576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FF778-199B-4E8F-AE1B-D190576AA6DF}">
  <sheetPr codeName="Sheet9"/>
  <dimension ref="A1:G46"/>
  <sheetViews>
    <sheetView zoomScale="151" workbookViewId="0"/>
  </sheetViews>
  <sheetFormatPr defaultColWidth="9.140625" defaultRowHeight="18" x14ac:dyDescent="0.35"/>
  <cols>
    <col min="1" max="1" width="20.5703125" style="3" bestFit="1" customWidth="1"/>
    <col min="2" max="2" width="11.7109375" style="14" bestFit="1" customWidth="1"/>
    <col min="3" max="3" width="9.42578125" style="3" bestFit="1" customWidth="1"/>
    <col min="4" max="4" width="19.7109375" style="3" bestFit="1" customWidth="1"/>
    <col min="5" max="5" width="9.42578125" style="3" bestFit="1" customWidth="1"/>
    <col min="6" max="6" width="12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45709</v>
      </c>
    </row>
    <row r="2" spans="1:7" x14ac:dyDescent="0.35">
      <c r="A2" s="3" t="s">
        <v>82</v>
      </c>
      <c r="B2" s="19">
        <v>4596.83</v>
      </c>
      <c r="C2" s="30"/>
    </row>
    <row r="3" spans="1:7" x14ac:dyDescent="0.35">
      <c r="A3" s="3" t="s">
        <v>81</v>
      </c>
      <c r="B3" s="19">
        <v>5100.5200000000004</v>
      </c>
      <c r="C3" s="30"/>
    </row>
    <row r="4" spans="1:7" x14ac:dyDescent="0.35">
      <c r="A4" s="3" t="s">
        <v>8</v>
      </c>
      <c r="B4" s="19">
        <v>3514.08</v>
      </c>
      <c r="C4" s="30"/>
    </row>
    <row r="5" spans="1:7" x14ac:dyDescent="0.35">
      <c r="A5" s="3" t="s">
        <v>1</v>
      </c>
      <c r="B5" s="13">
        <v>5249.83</v>
      </c>
      <c r="C5" s="30"/>
    </row>
    <row r="6" spans="1:7" x14ac:dyDescent="0.35">
      <c r="A6" s="3" t="s">
        <v>1</v>
      </c>
      <c r="B6" s="19">
        <v>3377.15</v>
      </c>
      <c r="C6" s="30"/>
    </row>
    <row r="7" spans="1:7" x14ac:dyDescent="0.35">
      <c r="A7" s="3" t="s">
        <v>18</v>
      </c>
      <c r="B7" s="19">
        <v>1560</v>
      </c>
      <c r="C7" s="30"/>
    </row>
    <row r="8" spans="1:7" x14ac:dyDescent="0.35">
      <c r="A8" s="3" t="s">
        <v>44</v>
      </c>
      <c r="B8" s="19">
        <v>233</v>
      </c>
      <c r="C8" s="30"/>
    </row>
    <row r="9" spans="1:7" x14ac:dyDescent="0.35">
      <c r="A9" s="3" t="s">
        <v>19</v>
      </c>
      <c r="B9" s="19">
        <v>769</v>
      </c>
      <c r="C9" s="30"/>
    </row>
    <row r="10" spans="1:7" x14ac:dyDescent="0.35">
      <c r="A10" s="3" t="s">
        <v>84</v>
      </c>
      <c r="B10" s="19">
        <v>3132</v>
      </c>
      <c r="C10" s="30"/>
    </row>
    <row r="11" spans="1:7" x14ac:dyDescent="0.35">
      <c r="A11" s="3" t="s">
        <v>84</v>
      </c>
      <c r="B11" s="19">
        <v>5005</v>
      </c>
      <c r="C11" s="30"/>
    </row>
    <row r="12" spans="1:7" x14ac:dyDescent="0.35">
      <c r="A12" s="3" t="s">
        <v>92</v>
      </c>
      <c r="B12" s="19">
        <v>505</v>
      </c>
      <c r="C12" s="30"/>
    </row>
    <row r="13" spans="1:7" x14ac:dyDescent="0.35">
      <c r="A13" s="3" t="s">
        <v>4</v>
      </c>
      <c r="B13" s="19">
        <v>610</v>
      </c>
      <c r="C13" s="30"/>
    </row>
    <row r="14" spans="1:7" x14ac:dyDescent="0.35">
      <c r="A14" s="3" t="s">
        <v>92</v>
      </c>
      <c r="B14" s="19">
        <v>2000</v>
      </c>
      <c r="C14" s="30"/>
    </row>
    <row r="15" spans="1:7" x14ac:dyDescent="0.35">
      <c r="A15" s="3" t="s">
        <v>39</v>
      </c>
      <c r="B15" s="19">
        <v>900</v>
      </c>
      <c r="C15" s="30"/>
    </row>
    <row r="16" spans="1:7" x14ac:dyDescent="0.35">
      <c r="A16" s="3" t="s">
        <v>42</v>
      </c>
      <c r="B16" s="19">
        <v>704</v>
      </c>
      <c r="C16" s="30"/>
    </row>
    <row r="17" spans="1:6" x14ac:dyDescent="0.35">
      <c r="A17" s="3" t="s">
        <v>44</v>
      </c>
      <c r="B17" s="19">
        <v>110</v>
      </c>
      <c r="C17" s="30"/>
    </row>
    <row r="18" spans="1:6" x14ac:dyDescent="0.35">
      <c r="A18" s="3" t="s">
        <v>6</v>
      </c>
      <c r="B18" s="19">
        <v>1207.8</v>
      </c>
      <c r="C18" s="30"/>
    </row>
    <row r="19" spans="1:6" x14ac:dyDescent="0.35">
      <c r="A19" s="3" t="s">
        <v>71</v>
      </c>
      <c r="B19" s="19">
        <v>1621</v>
      </c>
      <c r="C19" s="30"/>
    </row>
    <row r="20" spans="1:6" x14ac:dyDescent="0.35">
      <c r="A20" s="3" t="s">
        <v>47</v>
      </c>
      <c r="B20" s="19">
        <v>5950</v>
      </c>
      <c r="C20" s="30"/>
    </row>
    <row r="21" spans="1:6" x14ac:dyDescent="0.35">
      <c r="A21" s="3" t="s">
        <v>84</v>
      </c>
      <c r="B21" s="19">
        <v>5.2</v>
      </c>
      <c r="C21" s="30"/>
    </row>
    <row r="22" spans="1:6" x14ac:dyDescent="0.35">
      <c r="A22" s="3" t="s">
        <v>2</v>
      </c>
      <c r="B22" s="19">
        <v>700</v>
      </c>
      <c r="C22" s="30"/>
    </row>
    <row r="23" spans="1:6" x14ac:dyDescent="0.35">
      <c r="A23" s="3" t="s">
        <v>53</v>
      </c>
      <c r="B23" s="19">
        <v>1000</v>
      </c>
      <c r="C23" s="30"/>
    </row>
    <row r="24" spans="1:6" x14ac:dyDescent="0.35">
      <c r="A24" s="3" t="s">
        <v>75</v>
      </c>
      <c r="B24" s="19">
        <v>1029.3800000000001</v>
      </c>
      <c r="C24" s="30"/>
    </row>
    <row r="25" spans="1:6" x14ac:dyDescent="0.35">
      <c r="A25" s="3" t="s">
        <v>86</v>
      </c>
      <c r="B25" s="19">
        <v>1399.73</v>
      </c>
      <c r="C25" s="30"/>
    </row>
    <row r="26" spans="1:6" x14ac:dyDescent="0.35">
      <c r="A26" s="3" t="s">
        <v>92</v>
      </c>
      <c r="B26" s="19">
        <v>2000</v>
      </c>
      <c r="C26" s="30"/>
    </row>
    <row r="27" spans="1:6" x14ac:dyDescent="0.35">
      <c r="A27" s="27" t="s">
        <v>87</v>
      </c>
      <c r="B27" s="25">
        <v>2005</v>
      </c>
      <c r="C27" s="30"/>
    </row>
    <row r="28" spans="1:6" x14ac:dyDescent="0.35">
      <c r="A28" s="28" t="s">
        <v>45</v>
      </c>
      <c r="B28" s="26">
        <v>660</v>
      </c>
      <c r="C28" s="30"/>
    </row>
    <row r="29" spans="1:6" x14ac:dyDescent="0.35">
      <c r="A29" s="3" t="s">
        <v>53</v>
      </c>
      <c r="B29" s="19">
        <v>4800</v>
      </c>
      <c r="C29" s="30"/>
    </row>
    <row r="30" spans="1:6" x14ac:dyDescent="0.35">
      <c r="A30" s="3" t="s">
        <v>92</v>
      </c>
      <c r="B30" s="19">
        <v>1000</v>
      </c>
      <c r="C30" s="30"/>
    </row>
    <row r="31" spans="1:6" x14ac:dyDescent="0.35">
      <c r="A31" s="3" t="s">
        <v>42</v>
      </c>
      <c r="B31" s="19">
        <v>704</v>
      </c>
      <c r="C31" s="30"/>
    </row>
    <row r="32" spans="1:6" x14ac:dyDescent="0.35">
      <c r="A32" s="3" t="s">
        <v>92</v>
      </c>
      <c r="B32" s="19">
        <v>1000</v>
      </c>
      <c r="C32" s="30"/>
      <c r="F32"/>
    </row>
    <row r="33" spans="1:6" x14ac:dyDescent="0.35">
      <c r="A33" s="3" t="s">
        <v>20</v>
      </c>
      <c r="B33" s="19">
        <v>320</v>
      </c>
      <c r="C33" s="30"/>
      <c r="F33"/>
    </row>
    <row r="34" spans="1:6" x14ac:dyDescent="0.35">
      <c r="A34" s="3" t="s">
        <v>10</v>
      </c>
      <c r="B34" s="19">
        <v>1083.25</v>
      </c>
      <c r="C34" s="30"/>
    </row>
    <row r="35" spans="1:6" x14ac:dyDescent="0.35">
      <c r="A35" s="3" t="s">
        <v>65</v>
      </c>
      <c r="B35" s="19">
        <v>1500</v>
      </c>
      <c r="C35" s="30"/>
    </row>
    <row r="36" spans="1:6" x14ac:dyDescent="0.35">
      <c r="A36" s="3" t="s">
        <v>80</v>
      </c>
      <c r="B36" s="19">
        <v>3075.04</v>
      </c>
      <c r="C36" s="30"/>
    </row>
    <row r="37" spans="1:6" x14ac:dyDescent="0.35">
      <c r="A37" s="3" t="s">
        <v>81</v>
      </c>
      <c r="B37" s="19">
        <v>2748.84</v>
      </c>
      <c r="C37" s="30"/>
    </row>
    <row r="38" spans="1:6" x14ac:dyDescent="0.35">
      <c r="A38" s="3" t="s">
        <v>85</v>
      </c>
      <c r="B38" s="19">
        <v>5</v>
      </c>
      <c r="C38" s="30"/>
    </row>
    <row r="39" spans="1:6" x14ac:dyDescent="0.35">
      <c r="A39" s="3" t="s">
        <v>59</v>
      </c>
      <c r="B39" s="19">
        <v>-1083.25</v>
      </c>
      <c r="C39" s="30"/>
    </row>
    <row r="40" spans="1:6" x14ac:dyDescent="0.35">
      <c r="A40" s="3" t="s">
        <v>8</v>
      </c>
      <c r="B40" s="19">
        <v>0.37</v>
      </c>
      <c r="C40" s="30"/>
    </row>
    <row r="41" spans="1:6" x14ac:dyDescent="0.35">
      <c r="A41" s="3" t="s">
        <v>16</v>
      </c>
      <c r="B41" s="19">
        <v>980</v>
      </c>
      <c r="C41" s="30"/>
    </row>
    <row r="42" spans="1:6" x14ac:dyDescent="0.35">
      <c r="A42" s="3" t="s">
        <v>73</v>
      </c>
      <c r="B42" s="19">
        <v>330.23</v>
      </c>
      <c r="C42" s="30"/>
    </row>
    <row r="43" spans="1:6" x14ac:dyDescent="0.35">
      <c r="A43" s="3" t="s">
        <v>78</v>
      </c>
      <c r="B43" s="19">
        <v>1000</v>
      </c>
      <c r="C43" s="30"/>
    </row>
    <row r="44" spans="1:6" x14ac:dyDescent="0.35">
      <c r="A44" s="3" t="s">
        <v>65</v>
      </c>
      <c r="B44" s="19">
        <v>2000</v>
      </c>
      <c r="C44" s="30"/>
    </row>
    <row r="45" spans="1:6" x14ac:dyDescent="0.35">
      <c r="A45" s="3" t="s">
        <v>72</v>
      </c>
      <c r="B45" s="19">
        <v>2000</v>
      </c>
      <c r="C45" s="30"/>
    </row>
    <row r="46" spans="1:6" x14ac:dyDescent="0.35">
      <c r="A46" s="3" t="s">
        <v>13</v>
      </c>
      <c r="B46" s="19">
        <v>533.91999999999996</v>
      </c>
      <c r="C46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07D35B-A967-494F-A683-A301D53228B6}">
          <x14:formula1>
            <xm:f>'Dropdown Expenses'!$A:$A</xm:f>
          </x14:formula1>
          <xm:sqref>A47:A1048576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6DC92-4D92-4D72-AAD4-F4A0F3F48683}">
  <sheetPr codeName="Sheet10"/>
  <dimension ref="A1:G24"/>
  <sheetViews>
    <sheetView zoomScale="151" workbookViewId="0">
      <selection activeCell="C5" sqref="C5"/>
    </sheetView>
  </sheetViews>
  <sheetFormatPr defaultColWidth="9.140625" defaultRowHeight="18" x14ac:dyDescent="0.35"/>
  <cols>
    <col min="1" max="1" width="16.42578125" style="3" bestFit="1" customWidth="1"/>
    <col min="2" max="2" width="12.85546875" style="14" bestFit="1" customWidth="1"/>
    <col min="3" max="3" width="10.7109375" style="3" bestFit="1" customWidth="1"/>
    <col min="4" max="4" width="19.710937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45757</v>
      </c>
    </row>
    <row r="2" spans="1:7" x14ac:dyDescent="0.35">
      <c r="A2" s="3" t="s">
        <v>35</v>
      </c>
      <c r="B2" s="14">
        <v>1000</v>
      </c>
      <c r="C2" s="20">
        <v>45761</v>
      </c>
    </row>
    <row r="3" spans="1:7" x14ac:dyDescent="0.35">
      <c r="A3" s="3" t="s">
        <v>36</v>
      </c>
      <c r="B3" s="14">
        <v>2000</v>
      </c>
      <c r="C3" s="20">
        <v>45761</v>
      </c>
    </row>
    <row r="4" spans="1:7" x14ac:dyDescent="0.35">
      <c r="A4" s="3" t="s">
        <v>3</v>
      </c>
      <c r="B4" s="14">
        <v>3675</v>
      </c>
      <c r="C4" s="20">
        <v>45759</v>
      </c>
    </row>
    <row r="5" spans="1:7" x14ac:dyDescent="0.35">
      <c r="A5" s="3" t="s">
        <v>64</v>
      </c>
      <c r="B5" s="14">
        <v>134</v>
      </c>
      <c r="C5" s="20">
        <v>45759</v>
      </c>
    </row>
    <row r="6" spans="1:7" x14ac:dyDescent="0.35">
      <c r="A6" s="3" t="s">
        <v>36</v>
      </c>
      <c r="B6" s="14">
        <v>999</v>
      </c>
      <c r="C6" s="20" t="s">
        <v>642</v>
      </c>
    </row>
    <row r="7" spans="1:7" x14ac:dyDescent="0.35">
      <c r="A7" s="3" t="s">
        <v>33</v>
      </c>
      <c r="B7" s="14">
        <v>1036.76</v>
      </c>
      <c r="C7" s="20" t="s">
        <v>643</v>
      </c>
    </row>
    <row r="8" spans="1:7" x14ac:dyDescent="0.35">
      <c r="A8" s="3" t="s">
        <v>85</v>
      </c>
      <c r="B8" s="14">
        <v>5</v>
      </c>
      <c r="C8" s="20">
        <v>45763</v>
      </c>
    </row>
    <row r="9" spans="1:7" x14ac:dyDescent="0.35">
      <c r="A9" s="3" t="s">
        <v>8</v>
      </c>
      <c r="B9" s="14">
        <v>10</v>
      </c>
      <c r="C9" s="20">
        <v>45763</v>
      </c>
    </row>
    <row r="10" spans="1:7" x14ac:dyDescent="0.35">
      <c r="A10" s="3" t="s">
        <v>72</v>
      </c>
      <c r="B10" s="14">
        <v>5000</v>
      </c>
      <c r="C10" s="20">
        <v>45763</v>
      </c>
    </row>
    <row r="11" spans="1:7" x14ac:dyDescent="0.35">
      <c r="A11" s="3" t="s">
        <v>85</v>
      </c>
      <c r="B11" s="14">
        <v>5</v>
      </c>
      <c r="C11" s="20">
        <v>45763</v>
      </c>
    </row>
    <row r="12" spans="1:7" x14ac:dyDescent="0.35">
      <c r="A12" s="3" t="s">
        <v>69</v>
      </c>
      <c r="B12" s="14">
        <v>-2040</v>
      </c>
      <c r="C12" s="20">
        <v>45770</v>
      </c>
    </row>
    <row r="13" spans="1:7" x14ac:dyDescent="0.35">
      <c r="A13" s="3" t="s">
        <v>13</v>
      </c>
      <c r="B13" s="14">
        <v>666.39</v>
      </c>
      <c r="C13" s="20" t="s">
        <v>644</v>
      </c>
    </row>
    <row r="14" spans="1:7" x14ac:dyDescent="0.35">
      <c r="A14" s="3" t="s">
        <v>72</v>
      </c>
      <c r="B14" s="14">
        <v>2000</v>
      </c>
      <c r="C14" s="20" t="s">
        <v>644</v>
      </c>
    </row>
    <row r="15" spans="1:7" x14ac:dyDescent="0.35">
      <c r="C15" s="30"/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8EF9F6B-94B3-4C4C-8EC1-5CBAFD99976E}">
          <x14:formula1>
            <xm:f>'Dropdown Expenses'!$A:$A</xm:f>
          </x14:formula1>
          <xm:sqref>A15:A1048576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1D2E9-791E-4CAB-8A15-018F0D2DFE96}">
  <sheetPr codeName="Sheet11"/>
  <dimension ref="A1:G24"/>
  <sheetViews>
    <sheetView zoomScale="151" workbookViewId="0">
      <selection activeCell="G10" sqref="G10"/>
    </sheetView>
  </sheetViews>
  <sheetFormatPr defaultColWidth="9.140625" defaultRowHeight="18" x14ac:dyDescent="0.35"/>
  <cols>
    <col min="1" max="1" width="13" style="3" bestFit="1" customWidth="1"/>
    <col min="2" max="2" width="12.85546875" style="14" bestFit="1" customWidth="1"/>
    <col min="3" max="3" width="11.85546875" style="3" bestFit="1" customWidth="1"/>
    <col min="4" max="4" width="28.42578125" style="3" bestFit="1" customWidth="1"/>
    <col min="5" max="6" width="9.42578125" style="3" bestFit="1" customWidth="1"/>
    <col min="7" max="7" width="11.42578125" style="3" bestFit="1" customWidth="1"/>
    <col min="8" max="16384" width="9.140625" style="3"/>
  </cols>
  <sheetData>
    <row r="1" spans="1:7" x14ac:dyDescent="0.35">
      <c r="A1" s="3" t="s">
        <v>94</v>
      </c>
      <c r="B1" s="14" t="s">
        <v>95</v>
      </c>
      <c r="C1" s="3" t="s">
        <v>96</v>
      </c>
      <c r="D1" s="3" t="s">
        <v>97</v>
      </c>
      <c r="F1" s="9" t="s">
        <v>98</v>
      </c>
      <c r="G1" s="15">
        <v>45813</v>
      </c>
    </row>
    <row r="2" spans="1:7" x14ac:dyDescent="0.35">
      <c r="A2" s="3" t="s">
        <v>12</v>
      </c>
      <c r="B2" s="14">
        <v>2500</v>
      </c>
      <c r="C2" s="30">
        <v>45813</v>
      </c>
      <c r="D2" s="3" t="s">
        <v>645</v>
      </c>
    </row>
    <row r="3" spans="1:7" x14ac:dyDescent="0.35">
      <c r="A3" s="3" t="s">
        <v>36</v>
      </c>
      <c r="B3" s="14">
        <v>1000</v>
      </c>
      <c r="C3" s="30">
        <v>45813</v>
      </c>
      <c r="D3" s="3" t="s">
        <v>646</v>
      </c>
    </row>
    <row r="4" spans="1:7" x14ac:dyDescent="0.35">
      <c r="A4" s="3" t="s">
        <v>87</v>
      </c>
      <c r="B4" s="14">
        <v>5000</v>
      </c>
      <c r="C4" s="30">
        <v>45814</v>
      </c>
      <c r="D4" s="3" t="s">
        <v>647</v>
      </c>
    </row>
    <row r="5" spans="1:7" x14ac:dyDescent="0.35">
      <c r="A5" s="3" t="s">
        <v>91</v>
      </c>
      <c r="B5" s="14">
        <v>250</v>
      </c>
      <c r="C5" s="30">
        <v>45817</v>
      </c>
      <c r="D5" s="3" t="s">
        <v>648</v>
      </c>
    </row>
    <row r="6" spans="1:7" x14ac:dyDescent="0.35">
      <c r="A6" s="3" t="s">
        <v>59</v>
      </c>
      <c r="B6" s="14">
        <v>-2000</v>
      </c>
      <c r="C6" s="30">
        <v>45822</v>
      </c>
      <c r="D6" s="3" t="s">
        <v>649</v>
      </c>
    </row>
    <row r="7" spans="1:7" x14ac:dyDescent="0.35">
      <c r="A7" s="3" t="s">
        <v>72</v>
      </c>
      <c r="B7" s="14">
        <v>2000</v>
      </c>
      <c r="C7" s="30">
        <v>45822</v>
      </c>
      <c r="D7" s="3" t="s">
        <v>650</v>
      </c>
    </row>
    <row r="8" spans="1:7" x14ac:dyDescent="0.35">
      <c r="A8" s="3" t="s">
        <v>13</v>
      </c>
      <c r="B8" s="14">
        <v>7.94</v>
      </c>
      <c r="C8" s="30">
        <v>45827</v>
      </c>
      <c r="D8" s="3" t="s">
        <v>318</v>
      </c>
    </row>
    <row r="9" spans="1:7" x14ac:dyDescent="0.35">
      <c r="C9" s="30"/>
    </row>
    <row r="10" spans="1:7" x14ac:dyDescent="0.35">
      <c r="C10" s="30"/>
    </row>
    <row r="11" spans="1:7" x14ac:dyDescent="0.35">
      <c r="C11" s="30"/>
    </row>
    <row r="12" spans="1:7" x14ac:dyDescent="0.35">
      <c r="C12" s="30"/>
    </row>
    <row r="13" spans="1:7" x14ac:dyDescent="0.35">
      <c r="C13" s="30"/>
    </row>
    <row r="14" spans="1:7" x14ac:dyDescent="0.35">
      <c r="C14" s="30"/>
    </row>
    <row r="15" spans="1:7" x14ac:dyDescent="0.35">
      <c r="C15" s="30"/>
    </row>
    <row r="16" spans="1:7" x14ac:dyDescent="0.35">
      <c r="C16" s="30"/>
    </row>
    <row r="17" spans="3:3" x14ac:dyDescent="0.35">
      <c r="C17" s="30"/>
    </row>
    <row r="18" spans="3:3" x14ac:dyDescent="0.35">
      <c r="C18" s="30"/>
    </row>
    <row r="19" spans="3:3" x14ac:dyDescent="0.35">
      <c r="C19" s="30"/>
    </row>
    <row r="20" spans="3:3" x14ac:dyDescent="0.35">
      <c r="C20" s="30"/>
    </row>
    <row r="21" spans="3:3" x14ac:dyDescent="0.35">
      <c r="C21" s="30"/>
    </row>
    <row r="22" spans="3:3" x14ac:dyDescent="0.35">
      <c r="C22" s="30"/>
    </row>
    <row r="23" spans="3:3" x14ac:dyDescent="0.35">
      <c r="C23" s="30"/>
    </row>
    <row r="24" spans="3:3" x14ac:dyDescent="0.35">
      <c r="C24" s="30"/>
    </row>
  </sheetData>
  <dataConsolidate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2795224-9444-46EF-A146-1D8A2909EC2B}">
          <x14:formula1>
            <xm:f>'Dropdown Expenses'!$A:$A</xm:f>
          </x14:formula1>
          <xm:sqref>A9:A1048576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97621-B91E-45BE-9FDE-D3060BCD9278}">
  <sheetPr codeName="Sheet5"/>
  <dimension ref="A1:I831"/>
  <sheetViews>
    <sheetView zoomScale="134" workbookViewId="0">
      <selection activeCell="F10" sqref="F10"/>
    </sheetView>
  </sheetViews>
  <sheetFormatPr defaultRowHeight="15" x14ac:dyDescent="0.25"/>
  <cols>
    <col min="1" max="1" width="13.7109375" customWidth="1"/>
    <col min="2" max="2" width="11.85546875" customWidth="1"/>
    <col min="3" max="3" width="10.140625" customWidth="1"/>
    <col min="5" max="6" width="18.140625" bestFit="1" customWidth="1"/>
    <col min="7" max="7" width="19.5703125" bestFit="1" customWidth="1"/>
    <col min="8" max="8" width="19.28515625" bestFit="1" customWidth="1"/>
    <col min="9" max="9" width="14.85546875" bestFit="1" customWidth="1"/>
  </cols>
  <sheetData>
    <row r="1" spans="1:9" x14ac:dyDescent="0.25">
      <c r="A1" t="s">
        <v>651</v>
      </c>
      <c r="B1" t="s">
        <v>94</v>
      </c>
      <c r="C1" t="s">
        <v>95</v>
      </c>
      <c r="D1" t="s">
        <v>652</v>
      </c>
      <c r="E1" t="s">
        <v>653</v>
      </c>
      <c r="H1" s="31" t="s">
        <v>94</v>
      </c>
      <c r="I1" t="s">
        <v>11</v>
      </c>
    </row>
    <row r="2" spans="1:9" x14ac:dyDescent="0.25">
      <c r="A2" s="33" t="s">
        <v>654</v>
      </c>
      <c r="B2" t="s">
        <v>70</v>
      </c>
      <c r="C2">
        <v>2250</v>
      </c>
      <c r="D2" s="34">
        <v>25</v>
      </c>
      <c r="E2" s="35" t="s">
        <v>655</v>
      </c>
    </row>
    <row r="3" spans="1:9" x14ac:dyDescent="0.25">
      <c r="A3" s="33" t="s">
        <v>654</v>
      </c>
      <c r="B3" t="s">
        <v>89</v>
      </c>
      <c r="C3">
        <v>218</v>
      </c>
      <c r="D3" s="34">
        <v>25</v>
      </c>
      <c r="E3" s="35" t="s">
        <v>655</v>
      </c>
      <c r="H3" s="31" t="s">
        <v>656</v>
      </c>
      <c r="I3" t="s">
        <v>657</v>
      </c>
    </row>
    <row r="4" spans="1:9" x14ac:dyDescent="0.25">
      <c r="A4" s="33" t="s">
        <v>654</v>
      </c>
      <c r="B4" t="s">
        <v>8</v>
      </c>
      <c r="C4">
        <v>2785.92</v>
      </c>
      <c r="D4" s="34">
        <v>25</v>
      </c>
      <c r="E4" s="35" t="s">
        <v>655</v>
      </c>
      <c r="H4" s="32" t="s">
        <v>658</v>
      </c>
      <c r="I4">
        <v>3500</v>
      </c>
    </row>
    <row r="5" spans="1:9" x14ac:dyDescent="0.25">
      <c r="A5" s="33" t="s">
        <v>654</v>
      </c>
      <c r="B5" t="s">
        <v>10</v>
      </c>
      <c r="C5">
        <v>322</v>
      </c>
      <c r="D5" s="34">
        <v>25</v>
      </c>
      <c r="E5" s="35" t="s">
        <v>655</v>
      </c>
      <c r="H5" s="32" t="s">
        <v>659</v>
      </c>
      <c r="I5">
        <v>2250</v>
      </c>
    </row>
    <row r="6" spans="1:9" x14ac:dyDescent="0.25">
      <c r="A6" s="33" t="s">
        <v>654</v>
      </c>
      <c r="B6" t="s">
        <v>92</v>
      </c>
      <c r="C6">
        <v>1000</v>
      </c>
      <c r="D6" s="34">
        <v>25</v>
      </c>
      <c r="E6" s="35" t="s">
        <v>655</v>
      </c>
      <c r="H6" s="32" t="s">
        <v>660</v>
      </c>
      <c r="I6">
        <v>1950</v>
      </c>
    </row>
    <row r="7" spans="1:9" x14ac:dyDescent="0.25">
      <c r="A7" s="33" t="s">
        <v>654</v>
      </c>
      <c r="B7" t="s">
        <v>10</v>
      </c>
      <c r="C7">
        <v>1083.75</v>
      </c>
      <c r="D7" s="34">
        <v>25</v>
      </c>
      <c r="E7" s="35" t="s">
        <v>655</v>
      </c>
      <c r="H7" s="32" t="s">
        <v>661</v>
      </c>
      <c r="I7">
        <v>3000</v>
      </c>
    </row>
    <row r="8" spans="1:9" x14ac:dyDescent="0.25">
      <c r="A8" s="33" t="s">
        <v>654</v>
      </c>
      <c r="B8" t="s">
        <v>93</v>
      </c>
      <c r="C8">
        <v>15</v>
      </c>
      <c r="D8" s="34">
        <v>25</v>
      </c>
      <c r="E8" s="35" t="s">
        <v>655</v>
      </c>
      <c r="H8" s="32" t="s">
        <v>662</v>
      </c>
      <c r="I8">
        <v>7000</v>
      </c>
    </row>
    <row r="9" spans="1:9" x14ac:dyDescent="0.25">
      <c r="A9" s="33" t="s">
        <v>654</v>
      </c>
      <c r="B9" t="s">
        <v>92</v>
      </c>
      <c r="C9">
        <v>1000</v>
      </c>
      <c r="D9" s="34">
        <v>25</v>
      </c>
      <c r="E9" s="35" t="s">
        <v>655</v>
      </c>
      <c r="H9" s="32" t="s">
        <v>663</v>
      </c>
      <c r="I9">
        <v>1950</v>
      </c>
    </row>
    <row r="10" spans="1:9" x14ac:dyDescent="0.25">
      <c r="A10" s="33" t="s">
        <v>654</v>
      </c>
      <c r="B10" t="s">
        <v>87</v>
      </c>
      <c r="C10">
        <v>1000</v>
      </c>
      <c r="D10" s="34">
        <v>25</v>
      </c>
      <c r="E10" s="35" t="s">
        <v>655</v>
      </c>
      <c r="H10" s="32" t="s">
        <v>664</v>
      </c>
      <c r="I10">
        <v>3000</v>
      </c>
    </row>
    <row r="11" spans="1:9" x14ac:dyDescent="0.25">
      <c r="A11" s="33" t="s">
        <v>654</v>
      </c>
      <c r="B11" t="s">
        <v>7</v>
      </c>
      <c r="C11">
        <v>-1000</v>
      </c>
      <c r="D11" s="34">
        <v>25</v>
      </c>
      <c r="E11" s="35" t="s">
        <v>655</v>
      </c>
      <c r="H11" s="32" t="s">
        <v>665</v>
      </c>
      <c r="I11">
        <v>4500</v>
      </c>
    </row>
    <row r="12" spans="1:9" x14ac:dyDescent="0.25">
      <c r="A12" s="33" t="s">
        <v>654</v>
      </c>
      <c r="B12" t="s">
        <v>93</v>
      </c>
      <c r="C12">
        <v>5</v>
      </c>
      <c r="D12" s="34">
        <v>25</v>
      </c>
      <c r="E12" s="35" t="s">
        <v>655</v>
      </c>
      <c r="H12" s="32" t="s">
        <v>666</v>
      </c>
      <c r="I12">
        <v>2518</v>
      </c>
    </row>
    <row r="13" spans="1:9" x14ac:dyDescent="0.25">
      <c r="A13" s="33" t="s">
        <v>654</v>
      </c>
      <c r="B13" t="s">
        <v>44</v>
      </c>
      <c r="C13">
        <v>225</v>
      </c>
      <c r="D13" s="34">
        <v>25</v>
      </c>
      <c r="E13" s="35" t="s">
        <v>655</v>
      </c>
      <c r="H13" s="32" t="s">
        <v>667</v>
      </c>
      <c r="I13">
        <v>4055</v>
      </c>
    </row>
    <row r="14" spans="1:9" x14ac:dyDescent="0.25">
      <c r="A14" s="33" t="s">
        <v>654</v>
      </c>
      <c r="B14" t="s">
        <v>7</v>
      </c>
      <c r="C14">
        <v>-2100</v>
      </c>
      <c r="D14" s="34">
        <v>25</v>
      </c>
      <c r="E14" s="35" t="s">
        <v>655</v>
      </c>
      <c r="H14" s="32" t="s">
        <v>668</v>
      </c>
      <c r="I14">
        <v>2000</v>
      </c>
    </row>
    <row r="15" spans="1:9" x14ac:dyDescent="0.25">
      <c r="A15" s="33" t="s">
        <v>654</v>
      </c>
      <c r="B15" t="s">
        <v>28</v>
      </c>
      <c r="C15">
        <v>150</v>
      </c>
      <c r="D15" s="34">
        <v>25</v>
      </c>
      <c r="E15" s="35" t="s">
        <v>655</v>
      </c>
      <c r="H15" s="32" t="s">
        <v>669</v>
      </c>
      <c r="I15">
        <v>1300</v>
      </c>
    </row>
    <row r="16" spans="1:9" x14ac:dyDescent="0.25">
      <c r="A16" s="33" t="s">
        <v>654</v>
      </c>
      <c r="B16" t="s">
        <v>92</v>
      </c>
      <c r="C16">
        <v>1000</v>
      </c>
      <c r="D16" s="34">
        <v>25</v>
      </c>
      <c r="E16" s="35" t="s">
        <v>655</v>
      </c>
      <c r="H16" s="32" t="s">
        <v>670</v>
      </c>
      <c r="I16">
        <v>1000</v>
      </c>
    </row>
    <row r="17" spans="1:9" x14ac:dyDescent="0.25">
      <c r="A17" s="33" t="s">
        <v>654</v>
      </c>
      <c r="B17" t="s">
        <v>0</v>
      </c>
      <c r="C17">
        <v>405</v>
      </c>
      <c r="D17" s="34">
        <v>25</v>
      </c>
      <c r="E17" s="35" t="s">
        <v>655</v>
      </c>
      <c r="H17" s="32" t="s">
        <v>671</v>
      </c>
      <c r="I17">
        <v>1250</v>
      </c>
    </row>
    <row r="18" spans="1:9" x14ac:dyDescent="0.25">
      <c r="A18" s="33" t="s">
        <v>654</v>
      </c>
      <c r="B18" t="s">
        <v>15</v>
      </c>
      <c r="C18">
        <v>605</v>
      </c>
      <c r="D18" s="34">
        <v>25</v>
      </c>
      <c r="E18" s="35" t="s">
        <v>655</v>
      </c>
      <c r="H18" s="32" t="s">
        <v>672</v>
      </c>
      <c r="I18">
        <v>2010</v>
      </c>
    </row>
    <row r="19" spans="1:9" x14ac:dyDescent="0.25">
      <c r="A19" s="33" t="s">
        <v>654</v>
      </c>
      <c r="B19" t="s">
        <v>90</v>
      </c>
      <c r="C19">
        <v>138</v>
      </c>
      <c r="D19" s="34">
        <v>25</v>
      </c>
      <c r="E19" s="35" t="s">
        <v>655</v>
      </c>
      <c r="H19" s="32" t="s">
        <v>673</v>
      </c>
      <c r="I19">
        <v>2860</v>
      </c>
    </row>
    <row r="20" spans="1:9" x14ac:dyDescent="0.25">
      <c r="A20" s="33" t="s">
        <v>654</v>
      </c>
      <c r="B20" t="s">
        <v>92</v>
      </c>
      <c r="C20">
        <v>336.01</v>
      </c>
      <c r="D20" s="34">
        <v>25</v>
      </c>
      <c r="E20" s="35" t="s">
        <v>655</v>
      </c>
      <c r="H20" s="32" t="s">
        <v>674</v>
      </c>
      <c r="I20">
        <v>3000</v>
      </c>
    </row>
    <row r="21" spans="1:9" x14ac:dyDescent="0.25">
      <c r="A21" s="33" t="s">
        <v>654</v>
      </c>
      <c r="B21" t="s">
        <v>72</v>
      </c>
      <c r="C21">
        <v>2000</v>
      </c>
      <c r="D21" s="34">
        <v>25</v>
      </c>
      <c r="E21" s="35" t="s">
        <v>655</v>
      </c>
      <c r="H21" s="32" t="s">
        <v>675</v>
      </c>
      <c r="I21">
        <v>2010</v>
      </c>
    </row>
    <row r="22" spans="1:9" x14ac:dyDescent="0.25">
      <c r="A22" s="33" t="s">
        <v>676</v>
      </c>
      <c r="B22" t="s">
        <v>92</v>
      </c>
      <c r="C22">
        <v>663.99</v>
      </c>
      <c r="D22" s="34">
        <v>25</v>
      </c>
      <c r="E22" s="35" t="s">
        <v>658</v>
      </c>
      <c r="H22" s="32" t="s">
        <v>677</v>
      </c>
      <c r="I22">
        <v>3160</v>
      </c>
    </row>
    <row r="23" spans="1:9" x14ac:dyDescent="0.25">
      <c r="A23" s="33" t="s">
        <v>676</v>
      </c>
      <c r="B23" t="s">
        <v>93</v>
      </c>
      <c r="C23">
        <v>18</v>
      </c>
      <c r="D23" s="34">
        <v>25</v>
      </c>
      <c r="E23" s="35" t="s">
        <v>658</v>
      </c>
      <c r="H23" s="32" t="s">
        <v>678</v>
      </c>
      <c r="I23">
        <v>2180</v>
      </c>
    </row>
    <row r="24" spans="1:9" x14ac:dyDescent="0.25">
      <c r="A24" s="33" t="s">
        <v>676</v>
      </c>
      <c r="B24" t="s">
        <v>76</v>
      </c>
      <c r="C24">
        <v>201.99</v>
      </c>
      <c r="D24" s="34">
        <v>25</v>
      </c>
      <c r="E24" s="35" t="s">
        <v>658</v>
      </c>
      <c r="H24" s="32" t="s">
        <v>679</v>
      </c>
      <c r="I24">
        <v>3538</v>
      </c>
    </row>
    <row r="25" spans="1:9" x14ac:dyDescent="0.25">
      <c r="A25" s="33" t="s">
        <v>676</v>
      </c>
      <c r="B25" t="s">
        <v>11</v>
      </c>
      <c r="C25">
        <v>1000</v>
      </c>
      <c r="D25" s="34">
        <v>25</v>
      </c>
      <c r="E25" s="35" t="s">
        <v>658</v>
      </c>
      <c r="H25" s="32" t="s">
        <v>680</v>
      </c>
      <c r="I25">
        <v>3099</v>
      </c>
    </row>
    <row r="26" spans="1:9" x14ac:dyDescent="0.25">
      <c r="A26" s="33" t="s">
        <v>676</v>
      </c>
      <c r="B26" t="s">
        <v>70</v>
      </c>
      <c r="C26">
        <v>2250</v>
      </c>
      <c r="D26" s="34">
        <v>25</v>
      </c>
      <c r="E26" s="35" t="s">
        <v>658</v>
      </c>
      <c r="H26" s="32" t="s">
        <v>681</v>
      </c>
      <c r="I26">
        <v>3153</v>
      </c>
    </row>
    <row r="27" spans="1:9" x14ac:dyDescent="0.25">
      <c r="A27" s="33" t="s">
        <v>676</v>
      </c>
      <c r="B27" t="s">
        <v>93</v>
      </c>
      <c r="C27">
        <v>5</v>
      </c>
      <c r="D27" s="34">
        <v>25</v>
      </c>
      <c r="E27" s="35" t="s">
        <v>658</v>
      </c>
      <c r="H27" s="32" t="s">
        <v>682</v>
      </c>
      <c r="I27">
        <v>2400</v>
      </c>
    </row>
    <row r="28" spans="1:9" x14ac:dyDescent="0.25">
      <c r="A28" s="33" t="s">
        <v>676</v>
      </c>
      <c r="B28" t="s">
        <v>11</v>
      </c>
      <c r="C28">
        <v>1000</v>
      </c>
      <c r="D28" s="34">
        <v>25</v>
      </c>
      <c r="E28" s="35" t="s">
        <v>658</v>
      </c>
      <c r="H28" s="32" t="s">
        <v>683</v>
      </c>
      <c r="I28">
        <v>3500</v>
      </c>
    </row>
    <row r="29" spans="1:9" x14ac:dyDescent="0.25">
      <c r="A29" s="33" t="s">
        <v>676</v>
      </c>
      <c r="B29" t="s">
        <v>11</v>
      </c>
      <c r="C29">
        <v>1000</v>
      </c>
      <c r="D29" s="34">
        <v>25</v>
      </c>
      <c r="E29" s="35" t="s">
        <v>658</v>
      </c>
      <c r="H29" s="32" t="s">
        <v>684</v>
      </c>
      <c r="I29">
        <v>1510</v>
      </c>
    </row>
    <row r="30" spans="1:9" x14ac:dyDescent="0.25">
      <c r="A30" s="33" t="s">
        <v>676</v>
      </c>
      <c r="B30" t="s">
        <v>11</v>
      </c>
      <c r="C30">
        <v>500</v>
      </c>
      <c r="D30" s="34">
        <v>25</v>
      </c>
      <c r="E30" s="35" t="s">
        <v>658</v>
      </c>
      <c r="H30" s="32" t="s">
        <v>685</v>
      </c>
      <c r="I30">
        <v>1010</v>
      </c>
    </row>
    <row r="31" spans="1:9" x14ac:dyDescent="0.25">
      <c r="A31" s="33" t="s">
        <v>676</v>
      </c>
      <c r="B31" t="s">
        <v>8</v>
      </c>
      <c r="C31">
        <v>1074.08</v>
      </c>
      <c r="D31" s="34">
        <v>25</v>
      </c>
      <c r="E31" s="35" t="s">
        <v>658</v>
      </c>
      <c r="H31" s="32" t="s">
        <v>686</v>
      </c>
      <c r="I31">
        <v>2000</v>
      </c>
    </row>
    <row r="32" spans="1:9" x14ac:dyDescent="0.25">
      <c r="A32" s="33" t="s">
        <v>676</v>
      </c>
      <c r="B32" t="s">
        <v>72</v>
      </c>
      <c r="C32">
        <v>2105</v>
      </c>
      <c r="D32" s="34">
        <v>25</v>
      </c>
      <c r="E32" s="35" t="s">
        <v>658</v>
      </c>
      <c r="H32" s="32" t="s">
        <v>734</v>
      </c>
      <c r="I32">
        <v>1200</v>
      </c>
    </row>
    <row r="33" spans="1:9" x14ac:dyDescent="0.25">
      <c r="A33" s="33" t="s">
        <v>676</v>
      </c>
      <c r="B33" t="s">
        <v>13</v>
      </c>
      <c r="C33">
        <v>239.31</v>
      </c>
      <c r="D33" s="34">
        <v>25</v>
      </c>
      <c r="E33" s="35" t="s">
        <v>658</v>
      </c>
      <c r="H33" s="32" t="s">
        <v>687</v>
      </c>
      <c r="I33">
        <v>500</v>
      </c>
    </row>
    <row r="34" spans="1:9" x14ac:dyDescent="0.25">
      <c r="A34" s="33" t="s">
        <v>689</v>
      </c>
      <c r="B34" t="s">
        <v>87</v>
      </c>
      <c r="C34">
        <v>905</v>
      </c>
      <c r="D34" s="34">
        <v>25</v>
      </c>
      <c r="E34" s="35" t="s">
        <v>659</v>
      </c>
      <c r="H34" s="32" t="s">
        <v>688</v>
      </c>
      <c r="I34">
        <v>76403</v>
      </c>
    </row>
    <row r="35" spans="1:9" x14ac:dyDescent="0.25">
      <c r="A35" s="33" t="s">
        <v>689</v>
      </c>
      <c r="B35" t="s">
        <v>8</v>
      </c>
      <c r="C35">
        <v>497.91</v>
      </c>
      <c r="D35" s="34">
        <v>25</v>
      </c>
      <c r="E35" s="35" t="s">
        <v>659</v>
      </c>
    </row>
    <row r="36" spans="1:9" x14ac:dyDescent="0.25">
      <c r="A36" s="33" t="s">
        <v>689</v>
      </c>
      <c r="B36" t="s">
        <v>84</v>
      </c>
      <c r="C36">
        <v>102.09</v>
      </c>
      <c r="D36" s="34">
        <v>25</v>
      </c>
      <c r="E36" s="35" t="s">
        <v>659</v>
      </c>
    </row>
    <row r="37" spans="1:9" x14ac:dyDescent="0.25">
      <c r="A37" s="33" t="s">
        <v>689</v>
      </c>
      <c r="B37" t="s">
        <v>13</v>
      </c>
      <c r="C37">
        <v>-483.64</v>
      </c>
      <c r="D37" s="34">
        <v>25</v>
      </c>
      <c r="E37" s="35" t="s">
        <v>659</v>
      </c>
    </row>
    <row r="38" spans="1:9" x14ac:dyDescent="0.25">
      <c r="A38" s="33" t="s">
        <v>689</v>
      </c>
      <c r="B38" t="s">
        <v>11</v>
      </c>
      <c r="C38">
        <v>1000</v>
      </c>
      <c r="D38" s="34">
        <v>25</v>
      </c>
      <c r="E38" s="35" t="s">
        <v>659</v>
      </c>
    </row>
    <row r="39" spans="1:9" x14ac:dyDescent="0.25">
      <c r="A39" s="33" t="s">
        <v>689</v>
      </c>
      <c r="B39" t="s">
        <v>88</v>
      </c>
      <c r="C39">
        <v>750</v>
      </c>
      <c r="D39" s="34">
        <v>25</v>
      </c>
      <c r="E39" s="35" t="s">
        <v>659</v>
      </c>
    </row>
    <row r="40" spans="1:9" x14ac:dyDescent="0.25">
      <c r="A40" s="33" t="s">
        <v>689</v>
      </c>
      <c r="B40" t="s">
        <v>11</v>
      </c>
      <c r="C40">
        <v>1250</v>
      </c>
      <c r="D40" s="34">
        <v>25</v>
      </c>
      <c r="E40" s="35" t="s">
        <v>659</v>
      </c>
    </row>
    <row r="41" spans="1:9" x14ac:dyDescent="0.25">
      <c r="A41" s="33" t="s">
        <v>689</v>
      </c>
      <c r="B41" t="s">
        <v>70</v>
      </c>
      <c r="C41">
        <v>2250</v>
      </c>
      <c r="D41" s="34">
        <v>25</v>
      </c>
      <c r="E41" s="35" t="s">
        <v>659</v>
      </c>
    </row>
    <row r="42" spans="1:9" x14ac:dyDescent="0.25">
      <c r="A42" s="33" t="s">
        <v>689</v>
      </c>
      <c r="B42" t="s">
        <v>76</v>
      </c>
      <c r="C42">
        <v>201.99</v>
      </c>
      <c r="D42" s="34">
        <v>25</v>
      </c>
      <c r="E42" s="35" t="s">
        <v>659</v>
      </c>
    </row>
    <row r="43" spans="1:9" x14ac:dyDescent="0.25">
      <c r="A43" s="33" t="s">
        <v>689</v>
      </c>
      <c r="B43" t="s">
        <v>50</v>
      </c>
      <c r="C43">
        <v>105</v>
      </c>
      <c r="D43" s="34">
        <v>25</v>
      </c>
      <c r="E43" s="35" t="s">
        <v>659</v>
      </c>
    </row>
    <row r="44" spans="1:9" x14ac:dyDescent="0.25">
      <c r="A44" s="33" t="s">
        <v>689</v>
      </c>
      <c r="B44" t="s">
        <v>93</v>
      </c>
      <c r="C44">
        <v>18</v>
      </c>
      <c r="D44" s="34">
        <v>25</v>
      </c>
      <c r="E44" s="35" t="s">
        <v>659</v>
      </c>
    </row>
    <row r="45" spans="1:9" x14ac:dyDescent="0.25">
      <c r="A45" s="33" t="s">
        <v>689</v>
      </c>
      <c r="B45" t="s">
        <v>92</v>
      </c>
      <c r="C45">
        <v>1000</v>
      </c>
      <c r="D45" s="34">
        <v>25</v>
      </c>
      <c r="E45" s="35" t="s">
        <v>659</v>
      </c>
    </row>
    <row r="46" spans="1:9" x14ac:dyDescent="0.25">
      <c r="A46" s="33" t="s">
        <v>689</v>
      </c>
      <c r="B46" t="s">
        <v>50</v>
      </c>
      <c r="C46">
        <v>110</v>
      </c>
      <c r="D46" s="34">
        <v>25</v>
      </c>
      <c r="E46" s="35" t="s">
        <v>659</v>
      </c>
    </row>
    <row r="47" spans="1:9" x14ac:dyDescent="0.25">
      <c r="A47" s="33" t="s">
        <v>689</v>
      </c>
      <c r="B47" t="s">
        <v>17</v>
      </c>
      <c r="C47">
        <v>230</v>
      </c>
      <c r="D47" s="34">
        <v>25</v>
      </c>
      <c r="E47" s="35" t="s">
        <v>659</v>
      </c>
    </row>
    <row r="48" spans="1:9" x14ac:dyDescent="0.25">
      <c r="A48" s="33" t="s">
        <v>689</v>
      </c>
      <c r="B48" t="s">
        <v>13</v>
      </c>
      <c r="C48">
        <v>-666.39</v>
      </c>
      <c r="D48" s="34">
        <v>25</v>
      </c>
      <c r="E48" s="35" t="s">
        <v>659</v>
      </c>
    </row>
    <row r="49" spans="1:5" x14ac:dyDescent="0.25">
      <c r="A49" s="33" t="s">
        <v>689</v>
      </c>
      <c r="B49" t="s">
        <v>72</v>
      </c>
      <c r="C49">
        <v>1005</v>
      </c>
      <c r="D49" s="34">
        <v>25</v>
      </c>
      <c r="E49" s="35" t="s">
        <v>659</v>
      </c>
    </row>
    <row r="50" spans="1:5" x14ac:dyDescent="0.25">
      <c r="A50" s="33" t="s">
        <v>689</v>
      </c>
      <c r="B50" t="s">
        <v>13</v>
      </c>
      <c r="C50">
        <v>787.5</v>
      </c>
      <c r="D50" s="34">
        <v>25</v>
      </c>
      <c r="E50" s="35" t="s">
        <v>659</v>
      </c>
    </row>
    <row r="51" spans="1:5" x14ac:dyDescent="0.25">
      <c r="A51" s="33" t="s">
        <v>690</v>
      </c>
      <c r="B51" t="s">
        <v>92</v>
      </c>
      <c r="C51">
        <v>1005</v>
      </c>
      <c r="D51" s="34">
        <v>25</v>
      </c>
      <c r="E51" s="35" t="s">
        <v>660</v>
      </c>
    </row>
    <row r="52" spans="1:5" x14ac:dyDescent="0.25">
      <c r="A52" s="33" t="s">
        <v>690</v>
      </c>
      <c r="B52" t="s">
        <v>13</v>
      </c>
      <c r="C52">
        <v>-787.5</v>
      </c>
      <c r="D52" s="34">
        <v>25</v>
      </c>
      <c r="E52" s="35" t="s">
        <v>660</v>
      </c>
    </row>
    <row r="53" spans="1:5" x14ac:dyDescent="0.25">
      <c r="A53" s="33" t="s">
        <v>690</v>
      </c>
      <c r="B53" t="s">
        <v>70</v>
      </c>
      <c r="C53">
        <v>2250</v>
      </c>
      <c r="D53" s="34">
        <v>25</v>
      </c>
      <c r="E53" s="35" t="s">
        <v>660</v>
      </c>
    </row>
    <row r="54" spans="1:5" x14ac:dyDescent="0.25">
      <c r="A54" s="33" t="s">
        <v>690</v>
      </c>
      <c r="B54" t="s">
        <v>89</v>
      </c>
      <c r="C54">
        <v>218</v>
      </c>
      <c r="D54" s="34">
        <v>25</v>
      </c>
      <c r="E54" s="35" t="s">
        <v>660</v>
      </c>
    </row>
    <row r="55" spans="1:5" x14ac:dyDescent="0.25">
      <c r="A55" s="33" t="s">
        <v>690</v>
      </c>
      <c r="B55" t="s">
        <v>51</v>
      </c>
      <c r="C55">
        <v>399</v>
      </c>
      <c r="D55" s="34">
        <v>25</v>
      </c>
      <c r="E55" s="35" t="s">
        <v>660</v>
      </c>
    </row>
    <row r="56" spans="1:5" x14ac:dyDescent="0.25">
      <c r="A56" s="33" t="s">
        <v>690</v>
      </c>
      <c r="B56" t="s">
        <v>8</v>
      </c>
      <c r="C56">
        <v>2468.17</v>
      </c>
      <c r="D56" s="34">
        <v>25</v>
      </c>
      <c r="E56" s="35" t="s">
        <v>660</v>
      </c>
    </row>
    <row r="57" spans="1:5" x14ac:dyDescent="0.25">
      <c r="A57" s="33" t="s">
        <v>690</v>
      </c>
      <c r="B57" t="s">
        <v>85</v>
      </c>
      <c r="C57">
        <v>5</v>
      </c>
      <c r="D57" s="34">
        <v>25</v>
      </c>
      <c r="E57" s="35" t="s">
        <v>660</v>
      </c>
    </row>
    <row r="58" spans="1:5" x14ac:dyDescent="0.25">
      <c r="A58" s="33" t="s">
        <v>690</v>
      </c>
      <c r="B58" t="s">
        <v>30</v>
      </c>
      <c r="C58">
        <v>225</v>
      </c>
      <c r="D58" s="34">
        <v>25</v>
      </c>
      <c r="E58" s="35" t="s">
        <v>660</v>
      </c>
    </row>
    <row r="59" spans="1:5" x14ac:dyDescent="0.25">
      <c r="A59" s="33" t="s">
        <v>690</v>
      </c>
      <c r="B59" t="s">
        <v>87</v>
      </c>
      <c r="C59">
        <v>1005</v>
      </c>
      <c r="D59" s="34">
        <v>25</v>
      </c>
      <c r="E59" s="35" t="s">
        <v>660</v>
      </c>
    </row>
    <row r="60" spans="1:5" x14ac:dyDescent="0.25">
      <c r="A60" s="33" t="s">
        <v>690</v>
      </c>
      <c r="B60" t="s">
        <v>10</v>
      </c>
      <c r="C60">
        <v>1083.25</v>
      </c>
      <c r="D60" s="34">
        <v>25</v>
      </c>
      <c r="E60" s="35" t="s">
        <v>660</v>
      </c>
    </row>
    <row r="61" spans="1:5" x14ac:dyDescent="0.25">
      <c r="A61" s="33" t="s">
        <v>690</v>
      </c>
      <c r="B61" t="s">
        <v>59</v>
      </c>
      <c r="C61">
        <v>-2600</v>
      </c>
      <c r="D61" s="34">
        <v>25</v>
      </c>
      <c r="E61" s="35" t="s">
        <v>660</v>
      </c>
    </row>
    <row r="62" spans="1:5" x14ac:dyDescent="0.25">
      <c r="A62" s="33" t="s">
        <v>690</v>
      </c>
      <c r="B62" t="s">
        <v>84</v>
      </c>
      <c r="C62">
        <v>786</v>
      </c>
      <c r="D62" s="34">
        <v>25</v>
      </c>
      <c r="E62" s="35" t="s">
        <v>660</v>
      </c>
    </row>
    <row r="63" spans="1:5" x14ac:dyDescent="0.25">
      <c r="A63" s="33" t="s">
        <v>690</v>
      </c>
      <c r="B63" t="s">
        <v>11</v>
      </c>
      <c r="C63">
        <v>1000</v>
      </c>
      <c r="D63" s="34">
        <v>25</v>
      </c>
      <c r="E63" s="35" t="s">
        <v>660</v>
      </c>
    </row>
    <row r="64" spans="1:5" x14ac:dyDescent="0.25">
      <c r="A64" s="33" t="s">
        <v>690</v>
      </c>
      <c r="B64" t="s">
        <v>87</v>
      </c>
      <c r="C64">
        <v>3005</v>
      </c>
      <c r="D64" s="34">
        <v>25</v>
      </c>
      <c r="E64" s="35" t="s">
        <v>660</v>
      </c>
    </row>
    <row r="65" spans="1:5" x14ac:dyDescent="0.25">
      <c r="A65" s="33" t="s">
        <v>690</v>
      </c>
      <c r="B65" t="s">
        <v>11</v>
      </c>
      <c r="C65">
        <v>350</v>
      </c>
      <c r="D65" s="34">
        <v>25</v>
      </c>
      <c r="E65" s="35" t="s">
        <v>660</v>
      </c>
    </row>
    <row r="66" spans="1:5" x14ac:dyDescent="0.25">
      <c r="A66" s="33" t="s">
        <v>690</v>
      </c>
      <c r="B66" t="s">
        <v>7</v>
      </c>
      <c r="C66">
        <v>-4000</v>
      </c>
      <c r="D66" s="34">
        <v>25</v>
      </c>
      <c r="E66" s="35" t="s">
        <v>660</v>
      </c>
    </row>
    <row r="67" spans="1:5" x14ac:dyDescent="0.25">
      <c r="A67" s="33" t="s">
        <v>690</v>
      </c>
      <c r="B67" t="s">
        <v>3</v>
      </c>
      <c r="C67">
        <v>400</v>
      </c>
      <c r="D67" s="34">
        <v>25</v>
      </c>
      <c r="E67" s="35" t="s">
        <v>660</v>
      </c>
    </row>
    <row r="68" spans="1:5" x14ac:dyDescent="0.25">
      <c r="A68" s="33" t="s">
        <v>690</v>
      </c>
      <c r="B68" t="s">
        <v>7</v>
      </c>
      <c r="C68">
        <v>1000</v>
      </c>
      <c r="D68" s="34">
        <v>25</v>
      </c>
      <c r="E68" s="35" t="s">
        <v>660</v>
      </c>
    </row>
    <row r="69" spans="1:5" x14ac:dyDescent="0.25">
      <c r="A69" s="33" t="s">
        <v>690</v>
      </c>
      <c r="B69" t="s">
        <v>72</v>
      </c>
      <c r="C69">
        <v>2000</v>
      </c>
      <c r="D69" s="34">
        <v>25</v>
      </c>
      <c r="E69" s="35" t="s">
        <v>660</v>
      </c>
    </row>
    <row r="70" spans="1:5" x14ac:dyDescent="0.25">
      <c r="A70" s="33" t="s">
        <v>690</v>
      </c>
      <c r="B70" t="s">
        <v>11</v>
      </c>
      <c r="C70">
        <v>600</v>
      </c>
      <c r="D70" s="34">
        <v>25</v>
      </c>
      <c r="E70" s="35" t="s">
        <v>660</v>
      </c>
    </row>
    <row r="71" spans="1:5" x14ac:dyDescent="0.25">
      <c r="A71" s="33" t="s">
        <v>690</v>
      </c>
      <c r="B71" t="s">
        <v>13</v>
      </c>
      <c r="C71">
        <v>0.28999999999999998</v>
      </c>
      <c r="D71" s="34">
        <v>25</v>
      </c>
      <c r="E71" s="35" t="s">
        <v>660</v>
      </c>
    </row>
    <row r="72" spans="1:5" x14ac:dyDescent="0.25">
      <c r="A72" s="33" t="s">
        <v>691</v>
      </c>
      <c r="B72" t="s">
        <v>13</v>
      </c>
      <c r="C72">
        <v>-0.28999999999999998</v>
      </c>
      <c r="D72" s="34">
        <v>25</v>
      </c>
      <c r="E72" s="35" t="s">
        <v>661</v>
      </c>
    </row>
    <row r="73" spans="1:5" x14ac:dyDescent="0.25">
      <c r="A73" s="33" t="s">
        <v>691</v>
      </c>
      <c r="B73" t="s">
        <v>70</v>
      </c>
      <c r="C73">
        <v>2250</v>
      </c>
      <c r="D73" s="34">
        <v>25</v>
      </c>
      <c r="E73" s="35" t="s">
        <v>661</v>
      </c>
    </row>
    <row r="74" spans="1:5" x14ac:dyDescent="0.25">
      <c r="A74" s="33" t="s">
        <v>691</v>
      </c>
      <c r="B74" t="s">
        <v>28</v>
      </c>
      <c r="C74">
        <v>295</v>
      </c>
      <c r="D74" s="34">
        <v>25</v>
      </c>
      <c r="E74" s="35" t="s">
        <v>661</v>
      </c>
    </row>
    <row r="75" spans="1:5" x14ac:dyDescent="0.25">
      <c r="A75" s="33" t="s">
        <v>691</v>
      </c>
      <c r="B75" t="s">
        <v>10</v>
      </c>
      <c r="C75">
        <v>137</v>
      </c>
      <c r="D75" s="34">
        <v>25</v>
      </c>
      <c r="E75" s="35" t="s">
        <v>661</v>
      </c>
    </row>
    <row r="76" spans="1:5" x14ac:dyDescent="0.25">
      <c r="A76" s="33" t="s">
        <v>691</v>
      </c>
      <c r="B76" t="s">
        <v>8</v>
      </c>
      <c r="C76">
        <v>6488.05</v>
      </c>
      <c r="D76" s="34">
        <v>25</v>
      </c>
      <c r="E76" s="35" t="s">
        <v>661</v>
      </c>
    </row>
    <row r="77" spans="1:5" x14ac:dyDescent="0.25">
      <c r="A77" s="33" t="s">
        <v>691</v>
      </c>
      <c r="B77" t="s">
        <v>15</v>
      </c>
      <c r="C77">
        <v>600</v>
      </c>
      <c r="D77" s="34">
        <v>25</v>
      </c>
      <c r="E77" s="35" t="s">
        <v>661</v>
      </c>
    </row>
    <row r="78" spans="1:5" x14ac:dyDescent="0.25">
      <c r="A78" s="33" t="s">
        <v>691</v>
      </c>
      <c r="B78" t="s">
        <v>28</v>
      </c>
      <c r="C78">
        <v>505</v>
      </c>
      <c r="D78" s="34">
        <v>25</v>
      </c>
      <c r="E78" s="35" t="s">
        <v>661</v>
      </c>
    </row>
    <row r="79" spans="1:5" x14ac:dyDescent="0.25">
      <c r="A79" s="33" t="s">
        <v>691</v>
      </c>
      <c r="B79" t="s">
        <v>88</v>
      </c>
      <c r="C79">
        <v>500</v>
      </c>
      <c r="D79" s="34">
        <v>25</v>
      </c>
      <c r="E79" s="35" t="s">
        <v>661</v>
      </c>
    </row>
    <row r="80" spans="1:5" x14ac:dyDescent="0.25">
      <c r="A80" s="33" t="s">
        <v>691</v>
      </c>
      <c r="B80" t="s">
        <v>11</v>
      </c>
      <c r="C80">
        <v>1000</v>
      </c>
      <c r="D80" s="34">
        <v>25</v>
      </c>
      <c r="E80" s="35" t="s">
        <v>661</v>
      </c>
    </row>
    <row r="81" spans="1:5" x14ac:dyDescent="0.25">
      <c r="A81" s="33" t="s">
        <v>691</v>
      </c>
      <c r="B81" t="s">
        <v>85</v>
      </c>
      <c r="C81">
        <v>20</v>
      </c>
      <c r="D81" s="34">
        <v>25</v>
      </c>
      <c r="E81" s="35" t="s">
        <v>661</v>
      </c>
    </row>
    <row r="82" spans="1:5" x14ac:dyDescent="0.25">
      <c r="A82" s="33" t="s">
        <v>691</v>
      </c>
      <c r="B82" t="s">
        <v>50</v>
      </c>
      <c r="C82">
        <v>102</v>
      </c>
      <c r="D82" s="34">
        <v>25</v>
      </c>
      <c r="E82" s="35" t="s">
        <v>661</v>
      </c>
    </row>
    <row r="83" spans="1:5" x14ac:dyDescent="0.25">
      <c r="A83" s="33" t="s">
        <v>691</v>
      </c>
      <c r="B83" t="s">
        <v>76</v>
      </c>
      <c r="C83">
        <v>199</v>
      </c>
      <c r="D83" s="34">
        <v>25</v>
      </c>
      <c r="E83" s="35" t="s">
        <v>661</v>
      </c>
    </row>
    <row r="84" spans="1:5" x14ac:dyDescent="0.25">
      <c r="A84" s="33" t="s">
        <v>691</v>
      </c>
      <c r="B84" t="s">
        <v>84</v>
      </c>
      <c r="C84">
        <v>1000</v>
      </c>
      <c r="D84" s="34">
        <v>25</v>
      </c>
      <c r="E84" s="35" t="s">
        <v>661</v>
      </c>
    </row>
    <row r="85" spans="1:5" x14ac:dyDescent="0.25">
      <c r="A85" s="33" t="s">
        <v>691</v>
      </c>
      <c r="B85" t="s">
        <v>85</v>
      </c>
      <c r="C85">
        <v>5</v>
      </c>
      <c r="D85" s="34">
        <v>25</v>
      </c>
      <c r="E85" s="35" t="s">
        <v>661</v>
      </c>
    </row>
    <row r="86" spans="1:5" x14ac:dyDescent="0.25">
      <c r="A86" s="33" t="s">
        <v>691</v>
      </c>
      <c r="B86" t="s">
        <v>11</v>
      </c>
      <c r="C86">
        <v>1000</v>
      </c>
      <c r="D86" s="34">
        <v>25</v>
      </c>
      <c r="E86" s="35" t="s">
        <v>661</v>
      </c>
    </row>
    <row r="87" spans="1:5" x14ac:dyDescent="0.25">
      <c r="A87" s="33" t="s">
        <v>691</v>
      </c>
      <c r="B87" t="s">
        <v>11</v>
      </c>
      <c r="C87">
        <v>1000</v>
      </c>
      <c r="D87" s="34">
        <v>25</v>
      </c>
      <c r="E87" s="35" t="s">
        <v>661</v>
      </c>
    </row>
    <row r="88" spans="1:5" x14ac:dyDescent="0.25">
      <c r="A88" s="33" t="s">
        <v>691</v>
      </c>
      <c r="B88" t="s">
        <v>72</v>
      </c>
      <c r="C88">
        <v>2000</v>
      </c>
      <c r="D88" s="34">
        <v>25</v>
      </c>
      <c r="E88" s="35" t="s">
        <v>661</v>
      </c>
    </row>
    <row r="89" spans="1:5" x14ac:dyDescent="0.25">
      <c r="A89" s="33" t="s">
        <v>691</v>
      </c>
      <c r="B89" t="s">
        <v>85</v>
      </c>
      <c r="C89">
        <v>5</v>
      </c>
      <c r="D89" s="34">
        <v>25</v>
      </c>
      <c r="E89" s="35" t="s">
        <v>661</v>
      </c>
    </row>
    <row r="90" spans="1:5" x14ac:dyDescent="0.25">
      <c r="A90" s="33" t="s">
        <v>691</v>
      </c>
      <c r="B90" t="s">
        <v>13</v>
      </c>
      <c r="C90">
        <v>70.510000000000005</v>
      </c>
      <c r="D90" s="34">
        <v>25</v>
      </c>
      <c r="E90" s="35" t="s">
        <v>661</v>
      </c>
    </row>
    <row r="91" spans="1:5" x14ac:dyDescent="0.25">
      <c r="A91" s="33" t="s">
        <v>692</v>
      </c>
      <c r="B91" t="s">
        <v>13</v>
      </c>
      <c r="C91">
        <v>-70.510000000000005</v>
      </c>
      <c r="D91" s="34">
        <v>25</v>
      </c>
      <c r="E91" s="35" t="s">
        <v>693</v>
      </c>
    </row>
    <row r="92" spans="1:5" x14ac:dyDescent="0.25">
      <c r="A92" s="33" t="s">
        <v>692</v>
      </c>
      <c r="B92" t="s">
        <v>10</v>
      </c>
      <c r="C92">
        <v>2269.25</v>
      </c>
      <c r="D92" s="34">
        <v>25</v>
      </c>
      <c r="E92" s="35" t="s">
        <v>693</v>
      </c>
    </row>
    <row r="93" spans="1:5" x14ac:dyDescent="0.25">
      <c r="A93" s="33" t="s">
        <v>692</v>
      </c>
      <c r="B93" t="s">
        <v>8</v>
      </c>
      <c r="C93">
        <v>1785.92</v>
      </c>
      <c r="D93" s="34">
        <v>25</v>
      </c>
      <c r="E93" s="35" t="s">
        <v>693</v>
      </c>
    </row>
    <row r="94" spans="1:5" x14ac:dyDescent="0.25">
      <c r="A94" s="33" t="s">
        <v>692</v>
      </c>
      <c r="B94" t="s">
        <v>85</v>
      </c>
      <c r="C94">
        <v>5</v>
      </c>
      <c r="D94" s="34">
        <v>25</v>
      </c>
      <c r="E94" s="35" t="s">
        <v>693</v>
      </c>
    </row>
    <row r="95" spans="1:5" x14ac:dyDescent="0.25">
      <c r="A95" s="33" t="s">
        <v>692</v>
      </c>
      <c r="B95" t="s">
        <v>65</v>
      </c>
      <c r="C95">
        <v>599.44000000000005</v>
      </c>
      <c r="D95" s="34">
        <v>25</v>
      </c>
      <c r="E95" s="35" t="s">
        <v>693</v>
      </c>
    </row>
    <row r="96" spans="1:5" x14ac:dyDescent="0.25">
      <c r="A96" s="33" t="s">
        <v>692</v>
      </c>
      <c r="B96" t="s">
        <v>79</v>
      </c>
      <c r="C96">
        <v>5.99</v>
      </c>
      <c r="D96" s="34">
        <v>25</v>
      </c>
      <c r="E96" s="35" t="s">
        <v>693</v>
      </c>
    </row>
    <row r="97" spans="1:5" x14ac:dyDescent="0.25">
      <c r="A97" s="33" t="s">
        <v>692</v>
      </c>
      <c r="B97" t="s">
        <v>59</v>
      </c>
      <c r="C97">
        <v>-5.99</v>
      </c>
      <c r="D97" s="34">
        <v>25</v>
      </c>
      <c r="E97" s="35" t="s">
        <v>693</v>
      </c>
    </row>
    <row r="98" spans="1:5" x14ac:dyDescent="0.25">
      <c r="A98" s="33" t="s">
        <v>692</v>
      </c>
      <c r="B98" t="s">
        <v>87</v>
      </c>
      <c r="C98">
        <v>1000</v>
      </c>
      <c r="D98" s="34">
        <v>25</v>
      </c>
      <c r="E98" s="35" t="s">
        <v>693</v>
      </c>
    </row>
    <row r="99" spans="1:5" x14ac:dyDescent="0.25">
      <c r="A99" s="33" t="s">
        <v>692</v>
      </c>
      <c r="B99" t="s">
        <v>59</v>
      </c>
      <c r="C99">
        <v>-1047.8399999999999</v>
      </c>
      <c r="D99" s="34">
        <v>25</v>
      </c>
      <c r="E99" s="35" t="s">
        <v>693</v>
      </c>
    </row>
    <row r="100" spans="1:5" x14ac:dyDescent="0.25">
      <c r="A100" s="33" t="s">
        <v>692</v>
      </c>
      <c r="B100" t="s">
        <v>70</v>
      </c>
      <c r="C100">
        <v>2250</v>
      </c>
      <c r="D100" s="34">
        <v>25</v>
      </c>
      <c r="E100" s="35" t="s">
        <v>693</v>
      </c>
    </row>
    <row r="101" spans="1:5" x14ac:dyDescent="0.25">
      <c r="A101" s="33" t="s">
        <v>692</v>
      </c>
      <c r="B101" t="s">
        <v>89</v>
      </c>
      <c r="C101">
        <v>218</v>
      </c>
      <c r="D101" s="34">
        <v>25</v>
      </c>
      <c r="E101" s="35" t="s">
        <v>693</v>
      </c>
    </row>
    <row r="102" spans="1:5" x14ac:dyDescent="0.25">
      <c r="A102" s="33" t="s">
        <v>692</v>
      </c>
      <c r="B102" t="s">
        <v>3</v>
      </c>
      <c r="C102">
        <v>185</v>
      </c>
      <c r="D102" s="34">
        <v>25</v>
      </c>
      <c r="E102" s="35" t="s">
        <v>693</v>
      </c>
    </row>
    <row r="103" spans="1:5" x14ac:dyDescent="0.25">
      <c r="A103" s="33" t="s">
        <v>692</v>
      </c>
      <c r="B103" t="s">
        <v>21</v>
      </c>
      <c r="C103">
        <v>-0.47</v>
      </c>
      <c r="D103" s="34">
        <v>25</v>
      </c>
      <c r="E103" s="35" t="s">
        <v>693</v>
      </c>
    </row>
    <row r="104" spans="1:5" x14ac:dyDescent="0.25">
      <c r="A104" s="33" t="s">
        <v>692</v>
      </c>
      <c r="B104" t="s">
        <v>84</v>
      </c>
      <c r="C104">
        <v>505</v>
      </c>
      <c r="D104" s="34">
        <v>25</v>
      </c>
      <c r="E104" s="35" t="s">
        <v>693</v>
      </c>
    </row>
    <row r="105" spans="1:5" x14ac:dyDescent="0.25">
      <c r="A105" s="33" t="s">
        <v>692</v>
      </c>
      <c r="B105" t="s">
        <v>59</v>
      </c>
      <c r="C105">
        <v>-4577</v>
      </c>
      <c r="D105" s="34">
        <v>25</v>
      </c>
      <c r="E105" s="35" t="s">
        <v>693</v>
      </c>
    </row>
    <row r="106" spans="1:5" x14ac:dyDescent="0.25">
      <c r="A106" s="33" t="s">
        <v>692</v>
      </c>
      <c r="B106" t="s">
        <v>92</v>
      </c>
      <c r="C106">
        <v>5000</v>
      </c>
      <c r="D106" s="34">
        <v>25</v>
      </c>
      <c r="E106" s="35" t="s">
        <v>693</v>
      </c>
    </row>
    <row r="107" spans="1:5" x14ac:dyDescent="0.25">
      <c r="A107" s="33" t="s">
        <v>692</v>
      </c>
      <c r="B107" t="s">
        <v>8</v>
      </c>
      <c r="C107">
        <v>4138.67</v>
      </c>
      <c r="D107" s="34">
        <v>25</v>
      </c>
      <c r="E107" s="35" t="s">
        <v>693</v>
      </c>
    </row>
    <row r="108" spans="1:5" x14ac:dyDescent="0.25">
      <c r="A108" s="33" t="s">
        <v>692</v>
      </c>
      <c r="B108" t="s">
        <v>85</v>
      </c>
      <c r="C108">
        <v>5</v>
      </c>
      <c r="D108" s="34">
        <v>25</v>
      </c>
      <c r="E108" s="35" t="s">
        <v>693</v>
      </c>
    </row>
    <row r="109" spans="1:5" x14ac:dyDescent="0.25">
      <c r="A109" s="33" t="s">
        <v>692</v>
      </c>
      <c r="B109" t="s">
        <v>92</v>
      </c>
      <c r="C109">
        <v>1000</v>
      </c>
      <c r="D109" s="34">
        <v>25</v>
      </c>
      <c r="E109" s="35" t="s">
        <v>693</v>
      </c>
    </row>
    <row r="110" spans="1:5" x14ac:dyDescent="0.25">
      <c r="A110" s="33" t="s">
        <v>692</v>
      </c>
      <c r="B110" t="s">
        <v>93</v>
      </c>
      <c r="C110">
        <v>18</v>
      </c>
      <c r="D110" s="34">
        <v>25</v>
      </c>
      <c r="E110" s="35" t="s">
        <v>693</v>
      </c>
    </row>
    <row r="111" spans="1:5" x14ac:dyDescent="0.25">
      <c r="A111" s="33" t="s">
        <v>692</v>
      </c>
      <c r="B111" t="s">
        <v>84</v>
      </c>
      <c r="C111">
        <v>300</v>
      </c>
      <c r="D111" s="34">
        <v>25</v>
      </c>
      <c r="E111" s="35" t="s">
        <v>693</v>
      </c>
    </row>
    <row r="112" spans="1:5" x14ac:dyDescent="0.25">
      <c r="A112" s="33" t="s">
        <v>692</v>
      </c>
      <c r="B112" t="s">
        <v>85</v>
      </c>
      <c r="C112">
        <v>5</v>
      </c>
      <c r="D112" s="34">
        <v>25</v>
      </c>
      <c r="E112" s="35" t="s">
        <v>693</v>
      </c>
    </row>
    <row r="113" spans="1:5" x14ac:dyDescent="0.25">
      <c r="A113" s="33" t="s">
        <v>692</v>
      </c>
      <c r="B113" t="s">
        <v>92</v>
      </c>
      <c r="C113">
        <v>1000</v>
      </c>
      <c r="D113" s="34">
        <v>25</v>
      </c>
      <c r="E113" s="35" t="s">
        <v>693</v>
      </c>
    </row>
    <row r="114" spans="1:5" x14ac:dyDescent="0.25">
      <c r="A114" s="33" t="s">
        <v>692</v>
      </c>
      <c r="B114" t="s">
        <v>13</v>
      </c>
      <c r="C114">
        <v>83.21</v>
      </c>
      <c r="D114" s="34">
        <v>25</v>
      </c>
      <c r="E114" s="35" t="s">
        <v>693</v>
      </c>
    </row>
    <row r="115" spans="1:5" x14ac:dyDescent="0.25">
      <c r="A115" s="33" t="s">
        <v>694</v>
      </c>
      <c r="B115" t="s">
        <v>13</v>
      </c>
      <c r="C115">
        <v>-83.21</v>
      </c>
      <c r="D115" s="34">
        <v>25</v>
      </c>
      <c r="E115" s="35" t="s">
        <v>662</v>
      </c>
    </row>
    <row r="116" spans="1:5" x14ac:dyDescent="0.25">
      <c r="A116" s="33" t="s">
        <v>694</v>
      </c>
      <c r="B116" t="s">
        <v>11</v>
      </c>
      <c r="C116">
        <v>1000</v>
      </c>
      <c r="D116" s="34">
        <v>25</v>
      </c>
      <c r="E116" s="35" t="s">
        <v>662</v>
      </c>
    </row>
    <row r="117" spans="1:5" x14ac:dyDescent="0.25">
      <c r="A117" s="33" t="s">
        <v>694</v>
      </c>
      <c r="B117" t="s">
        <v>70</v>
      </c>
      <c r="C117">
        <v>2250</v>
      </c>
      <c r="D117" s="34">
        <v>25</v>
      </c>
      <c r="E117" s="35" t="s">
        <v>662</v>
      </c>
    </row>
    <row r="118" spans="1:5" x14ac:dyDescent="0.25">
      <c r="A118" s="33" t="s">
        <v>694</v>
      </c>
      <c r="B118" t="s">
        <v>28</v>
      </c>
      <c r="C118">
        <v>249</v>
      </c>
      <c r="D118" s="34">
        <v>25</v>
      </c>
      <c r="E118" s="35" t="s">
        <v>662</v>
      </c>
    </row>
    <row r="119" spans="1:5" x14ac:dyDescent="0.25">
      <c r="A119" s="33" t="s">
        <v>694</v>
      </c>
      <c r="B119" t="s">
        <v>8</v>
      </c>
      <c r="C119">
        <v>2551.94</v>
      </c>
      <c r="D119" s="34">
        <v>25</v>
      </c>
      <c r="E119" s="35" t="s">
        <v>662</v>
      </c>
    </row>
    <row r="120" spans="1:5" x14ac:dyDescent="0.25">
      <c r="A120" s="33" t="s">
        <v>694</v>
      </c>
      <c r="B120" t="s">
        <v>11</v>
      </c>
      <c r="C120">
        <v>3000</v>
      </c>
      <c r="D120" s="34">
        <v>25</v>
      </c>
      <c r="E120" s="35" t="s">
        <v>662</v>
      </c>
    </row>
    <row r="121" spans="1:5" x14ac:dyDescent="0.25">
      <c r="A121" s="33" t="s">
        <v>694</v>
      </c>
      <c r="B121" t="s">
        <v>92</v>
      </c>
      <c r="C121">
        <v>1000</v>
      </c>
      <c r="D121" s="34">
        <v>25</v>
      </c>
      <c r="E121" s="35" t="s">
        <v>662</v>
      </c>
    </row>
    <row r="122" spans="1:5" x14ac:dyDescent="0.25">
      <c r="A122" s="33" t="s">
        <v>694</v>
      </c>
      <c r="B122" t="s">
        <v>93</v>
      </c>
      <c r="C122">
        <v>16</v>
      </c>
      <c r="D122" s="34">
        <v>25</v>
      </c>
      <c r="E122" s="35" t="s">
        <v>662</v>
      </c>
    </row>
    <row r="123" spans="1:5" x14ac:dyDescent="0.25">
      <c r="A123" s="33" t="s">
        <v>694</v>
      </c>
      <c r="B123" t="s">
        <v>91</v>
      </c>
      <c r="C123">
        <v>50</v>
      </c>
      <c r="D123" s="34">
        <v>25</v>
      </c>
      <c r="E123" s="35" t="s">
        <v>662</v>
      </c>
    </row>
    <row r="124" spans="1:5" x14ac:dyDescent="0.25">
      <c r="A124" s="33" t="s">
        <v>694</v>
      </c>
      <c r="B124" t="s">
        <v>85</v>
      </c>
      <c r="C124">
        <v>5</v>
      </c>
      <c r="D124" s="34">
        <v>25</v>
      </c>
      <c r="E124" s="35" t="s">
        <v>662</v>
      </c>
    </row>
    <row r="125" spans="1:5" x14ac:dyDescent="0.25">
      <c r="A125" s="33" t="s">
        <v>694</v>
      </c>
      <c r="B125" t="s">
        <v>59</v>
      </c>
      <c r="C125">
        <v>-3000</v>
      </c>
      <c r="D125" s="34">
        <v>25</v>
      </c>
      <c r="E125" s="35" t="s">
        <v>662</v>
      </c>
    </row>
    <row r="126" spans="1:5" x14ac:dyDescent="0.25">
      <c r="A126" s="33" t="s">
        <v>694</v>
      </c>
      <c r="B126" t="s">
        <v>11</v>
      </c>
      <c r="C126">
        <v>3000</v>
      </c>
      <c r="D126" s="34">
        <v>25</v>
      </c>
      <c r="E126" s="35" t="s">
        <v>662</v>
      </c>
    </row>
    <row r="127" spans="1:5" x14ac:dyDescent="0.25">
      <c r="A127" s="33" t="s">
        <v>694</v>
      </c>
      <c r="B127" t="s">
        <v>13</v>
      </c>
      <c r="C127">
        <v>18.84</v>
      </c>
      <c r="D127" s="34">
        <v>25</v>
      </c>
      <c r="E127" s="35" t="s">
        <v>662</v>
      </c>
    </row>
    <row r="128" spans="1:5" x14ac:dyDescent="0.25">
      <c r="A128" s="33" t="s">
        <v>695</v>
      </c>
      <c r="B128" t="s">
        <v>13</v>
      </c>
      <c r="C128">
        <v>-26.78</v>
      </c>
      <c r="D128" s="34">
        <v>25</v>
      </c>
      <c r="E128" s="35" t="s">
        <v>663</v>
      </c>
    </row>
    <row r="129" spans="1:5" x14ac:dyDescent="0.25">
      <c r="A129" s="33" t="s">
        <v>695</v>
      </c>
      <c r="B129" t="s">
        <v>70</v>
      </c>
      <c r="C129">
        <v>2250</v>
      </c>
      <c r="D129" s="34">
        <v>25</v>
      </c>
      <c r="E129" s="35" t="s">
        <v>663</v>
      </c>
    </row>
    <row r="130" spans="1:5" x14ac:dyDescent="0.25">
      <c r="A130" s="33" t="s">
        <v>695</v>
      </c>
      <c r="B130" t="s">
        <v>10</v>
      </c>
      <c r="C130">
        <v>2840.25</v>
      </c>
      <c r="D130" s="34">
        <v>25</v>
      </c>
      <c r="E130" s="35" t="s">
        <v>663</v>
      </c>
    </row>
    <row r="131" spans="1:5" x14ac:dyDescent="0.25">
      <c r="A131" s="33" t="s">
        <v>695</v>
      </c>
      <c r="B131" t="s">
        <v>8</v>
      </c>
      <c r="C131">
        <v>1649.92</v>
      </c>
      <c r="D131" s="34">
        <v>25</v>
      </c>
      <c r="E131" s="35" t="s">
        <v>663</v>
      </c>
    </row>
    <row r="132" spans="1:5" x14ac:dyDescent="0.25">
      <c r="A132" s="33" t="s">
        <v>695</v>
      </c>
      <c r="B132" t="s">
        <v>76</v>
      </c>
      <c r="C132">
        <v>199</v>
      </c>
      <c r="D132" s="34">
        <v>25</v>
      </c>
      <c r="E132" s="35" t="s">
        <v>663</v>
      </c>
    </row>
    <row r="133" spans="1:5" x14ac:dyDescent="0.25">
      <c r="A133" s="33" t="s">
        <v>695</v>
      </c>
      <c r="B133" t="s">
        <v>15</v>
      </c>
      <c r="C133">
        <v>750</v>
      </c>
      <c r="D133" s="34">
        <v>25</v>
      </c>
      <c r="E133" s="35" t="s">
        <v>663</v>
      </c>
    </row>
    <row r="134" spans="1:5" x14ac:dyDescent="0.25">
      <c r="A134" s="33" t="s">
        <v>695</v>
      </c>
      <c r="B134" t="s">
        <v>50</v>
      </c>
      <c r="C134">
        <v>100</v>
      </c>
      <c r="D134" s="34">
        <v>25</v>
      </c>
      <c r="E134" s="35" t="s">
        <v>663</v>
      </c>
    </row>
    <row r="135" spans="1:5" x14ac:dyDescent="0.25">
      <c r="A135" s="33" t="s">
        <v>695</v>
      </c>
      <c r="B135" t="s">
        <v>11</v>
      </c>
      <c r="C135">
        <v>150</v>
      </c>
      <c r="D135" s="34">
        <v>25</v>
      </c>
      <c r="E135" s="35" t="s">
        <v>663</v>
      </c>
    </row>
    <row r="136" spans="1:5" x14ac:dyDescent="0.25">
      <c r="A136" s="33" t="s">
        <v>695</v>
      </c>
      <c r="B136" t="s">
        <v>85</v>
      </c>
      <c r="C136">
        <v>5</v>
      </c>
      <c r="D136" s="34">
        <v>25</v>
      </c>
      <c r="E136" s="35" t="s">
        <v>663</v>
      </c>
    </row>
    <row r="137" spans="1:5" x14ac:dyDescent="0.25">
      <c r="A137" s="33" t="s">
        <v>695</v>
      </c>
      <c r="B137" t="s">
        <v>11</v>
      </c>
      <c r="C137">
        <v>1000</v>
      </c>
      <c r="D137" s="34">
        <v>25</v>
      </c>
      <c r="E137" s="35" t="s">
        <v>663</v>
      </c>
    </row>
    <row r="138" spans="1:5" x14ac:dyDescent="0.25">
      <c r="A138" s="33" t="s">
        <v>695</v>
      </c>
      <c r="B138" t="s">
        <v>93</v>
      </c>
      <c r="C138">
        <v>18</v>
      </c>
      <c r="D138" s="34">
        <v>25</v>
      </c>
      <c r="E138" s="35" t="s">
        <v>663</v>
      </c>
    </row>
    <row r="139" spans="1:5" x14ac:dyDescent="0.25">
      <c r="A139" s="33" t="s">
        <v>695</v>
      </c>
      <c r="B139" t="s">
        <v>89</v>
      </c>
      <c r="C139">
        <v>218</v>
      </c>
      <c r="D139" s="34">
        <v>25</v>
      </c>
      <c r="E139" s="35" t="s">
        <v>663</v>
      </c>
    </row>
    <row r="140" spans="1:5" x14ac:dyDescent="0.25">
      <c r="A140" s="33" t="s">
        <v>695</v>
      </c>
      <c r="B140" t="s">
        <v>11</v>
      </c>
      <c r="C140">
        <v>400</v>
      </c>
      <c r="D140" s="34">
        <v>25</v>
      </c>
      <c r="E140" s="35" t="s">
        <v>663</v>
      </c>
    </row>
    <row r="141" spans="1:5" x14ac:dyDescent="0.25">
      <c r="A141" s="33" t="s">
        <v>695</v>
      </c>
      <c r="B141" t="s">
        <v>85</v>
      </c>
      <c r="C141">
        <v>5</v>
      </c>
      <c r="D141" s="34">
        <v>25</v>
      </c>
      <c r="E141" s="35" t="s">
        <v>663</v>
      </c>
    </row>
    <row r="142" spans="1:5" x14ac:dyDescent="0.25">
      <c r="A142" s="33" t="s">
        <v>695</v>
      </c>
      <c r="B142" t="s">
        <v>11</v>
      </c>
      <c r="C142">
        <v>400</v>
      </c>
      <c r="D142" s="34">
        <v>25</v>
      </c>
      <c r="E142" s="35" t="s">
        <v>663</v>
      </c>
    </row>
    <row r="143" spans="1:5" x14ac:dyDescent="0.25">
      <c r="A143" s="33" t="s">
        <v>695</v>
      </c>
      <c r="B143" t="s">
        <v>85</v>
      </c>
      <c r="C143">
        <v>5</v>
      </c>
      <c r="D143" s="34">
        <v>25</v>
      </c>
      <c r="E143" s="35" t="s">
        <v>663</v>
      </c>
    </row>
    <row r="144" spans="1:5" x14ac:dyDescent="0.25">
      <c r="A144" s="33" t="s">
        <v>695</v>
      </c>
      <c r="B144" t="s">
        <v>79</v>
      </c>
      <c r="C144">
        <v>0.08</v>
      </c>
      <c r="D144" s="34">
        <v>25</v>
      </c>
      <c r="E144" s="35" t="s">
        <v>663</v>
      </c>
    </row>
    <row r="145" spans="1:5" x14ac:dyDescent="0.25">
      <c r="A145" s="33" t="s">
        <v>695</v>
      </c>
      <c r="B145" t="s">
        <v>41</v>
      </c>
      <c r="C145">
        <v>-0.39</v>
      </c>
      <c r="D145" s="34">
        <v>25</v>
      </c>
      <c r="E145" s="35" t="s">
        <v>663</v>
      </c>
    </row>
    <row r="146" spans="1:5" x14ac:dyDescent="0.25">
      <c r="A146" s="33" t="s">
        <v>695</v>
      </c>
      <c r="B146" t="s">
        <v>13</v>
      </c>
      <c r="C146">
        <v>58.58</v>
      </c>
      <c r="D146" s="34">
        <v>25</v>
      </c>
      <c r="E146" s="35" t="s">
        <v>663</v>
      </c>
    </row>
    <row r="147" spans="1:5" x14ac:dyDescent="0.25">
      <c r="A147" s="33" t="s">
        <v>696</v>
      </c>
      <c r="B147" t="s">
        <v>13</v>
      </c>
      <c r="C147">
        <v>-58.58</v>
      </c>
      <c r="D147" s="34">
        <v>25</v>
      </c>
      <c r="E147" s="35" t="s">
        <v>664</v>
      </c>
    </row>
    <row r="148" spans="1:5" x14ac:dyDescent="0.25">
      <c r="A148" s="33" t="s">
        <v>696</v>
      </c>
      <c r="B148" t="s">
        <v>28</v>
      </c>
      <c r="C148">
        <v>288</v>
      </c>
      <c r="D148" s="34">
        <v>25</v>
      </c>
      <c r="E148" s="35" t="s">
        <v>664</v>
      </c>
    </row>
    <row r="149" spans="1:5" x14ac:dyDescent="0.25">
      <c r="A149" s="33" t="s">
        <v>696</v>
      </c>
      <c r="B149" t="s">
        <v>15</v>
      </c>
      <c r="C149">
        <v>600</v>
      </c>
      <c r="D149" s="34">
        <v>25</v>
      </c>
      <c r="E149" s="35" t="s">
        <v>664</v>
      </c>
    </row>
    <row r="150" spans="1:5" x14ac:dyDescent="0.25">
      <c r="A150" s="33" t="s">
        <v>696</v>
      </c>
      <c r="B150" t="s">
        <v>36</v>
      </c>
      <c r="C150">
        <v>1000</v>
      </c>
      <c r="D150" s="34">
        <v>25</v>
      </c>
      <c r="E150" s="35" t="s">
        <v>664</v>
      </c>
    </row>
    <row r="151" spans="1:5" x14ac:dyDescent="0.25">
      <c r="A151" s="33" t="s">
        <v>696</v>
      </c>
      <c r="B151" t="s">
        <v>8</v>
      </c>
      <c r="C151">
        <v>2583</v>
      </c>
      <c r="D151" s="34">
        <v>25</v>
      </c>
      <c r="E151" s="35" t="s">
        <v>664</v>
      </c>
    </row>
    <row r="152" spans="1:5" x14ac:dyDescent="0.25">
      <c r="A152" s="33" t="s">
        <v>696</v>
      </c>
      <c r="B152" t="s">
        <v>10</v>
      </c>
      <c r="C152">
        <v>948</v>
      </c>
      <c r="D152" s="34">
        <v>25</v>
      </c>
      <c r="E152" s="35" t="s">
        <v>664</v>
      </c>
    </row>
    <row r="153" spans="1:5" x14ac:dyDescent="0.25">
      <c r="A153" s="33" t="s">
        <v>696</v>
      </c>
      <c r="B153" t="s">
        <v>85</v>
      </c>
      <c r="C153">
        <v>5</v>
      </c>
      <c r="D153" s="34">
        <v>25</v>
      </c>
      <c r="E153" s="35" t="s">
        <v>664</v>
      </c>
    </row>
    <row r="154" spans="1:5" x14ac:dyDescent="0.25">
      <c r="A154" s="33" t="s">
        <v>696</v>
      </c>
      <c r="B154" t="s">
        <v>85</v>
      </c>
      <c r="C154">
        <v>5</v>
      </c>
      <c r="D154" s="34">
        <v>25</v>
      </c>
      <c r="E154" s="35" t="s">
        <v>664</v>
      </c>
    </row>
    <row r="155" spans="1:5" x14ac:dyDescent="0.25">
      <c r="A155" s="33" t="s">
        <v>696</v>
      </c>
      <c r="B155" t="s">
        <v>50</v>
      </c>
      <c r="C155">
        <v>105</v>
      </c>
      <c r="D155" s="34">
        <v>25</v>
      </c>
      <c r="E155" s="35" t="s">
        <v>664</v>
      </c>
    </row>
    <row r="156" spans="1:5" x14ac:dyDescent="0.25">
      <c r="A156" s="33" t="s">
        <v>696</v>
      </c>
      <c r="B156" t="s">
        <v>11</v>
      </c>
      <c r="C156">
        <v>1000</v>
      </c>
      <c r="D156" s="34">
        <v>25</v>
      </c>
      <c r="E156" s="35" t="s">
        <v>664</v>
      </c>
    </row>
    <row r="157" spans="1:5" x14ac:dyDescent="0.25">
      <c r="A157" s="33" t="s">
        <v>696</v>
      </c>
      <c r="B157" t="s">
        <v>88</v>
      </c>
      <c r="C157">
        <v>455</v>
      </c>
      <c r="D157" s="34">
        <v>25</v>
      </c>
      <c r="E157" s="35" t="s">
        <v>664</v>
      </c>
    </row>
    <row r="158" spans="1:5" x14ac:dyDescent="0.25">
      <c r="A158" s="33" t="s">
        <v>696</v>
      </c>
      <c r="B158" t="s">
        <v>11</v>
      </c>
      <c r="C158">
        <v>1000</v>
      </c>
      <c r="D158" s="34">
        <v>25</v>
      </c>
      <c r="E158" s="35" t="s">
        <v>664</v>
      </c>
    </row>
    <row r="159" spans="1:5" x14ac:dyDescent="0.25">
      <c r="A159" s="33" t="s">
        <v>696</v>
      </c>
      <c r="B159" t="s">
        <v>85</v>
      </c>
      <c r="C159">
        <v>5</v>
      </c>
      <c r="D159" s="34">
        <v>25</v>
      </c>
      <c r="E159" s="35" t="s">
        <v>664</v>
      </c>
    </row>
    <row r="160" spans="1:5" x14ac:dyDescent="0.25">
      <c r="A160" s="33" t="s">
        <v>696</v>
      </c>
      <c r="B160" t="s">
        <v>10</v>
      </c>
      <c r="C160">
        <v>1624</v>
      </c>
      <c r="D160" s="34">
        <v>25</v>
      </c>
      <c r="E160" s="35" t="s">
        <v>664</v>
      </c>
    </row>
    <row r="161" spans="1:5" x14ac:dyDescent="0.25">
      <c r="A161" s="33" t="s">
        <v>696</v>
      </c>
      <c r="B161" t="s">
        <v>83</v>
      </c>
      <c r="C161">
        <v>505</v>
      </c>
      <c r="D161" s="34">
        <v>25</v>
      </c>
      <c r="E161" s="35" t="s">
        <v>664</v>
      </c>
    </row>
    <row r="162" spans="1:5" x14ac:dyDescent="0.25">
      <c r="A162" s="33" t="s">
        <v>696</v>
      </c>
      <c r="B162" t="s">
        <v>87</v>
      </c>
      <c r="C162">
        <v>1000</v>
      </c>
      <c r="D162" s="34">
        <v>25</v>
      </c>
      <c r="E162" s="35" t="s">
        <v>664</v>
      </c>
    </row>
    <row r="163" spans="1:5" x14ac:dyDescent="0.25">
      <c r="A163" s="33" t="s">
        <v>696</v>
      </c>
      <c r="B163" t="s">
        <v>76</v>
      </c>
      <c r="C163">
        <v>199</v>
      </c>
      <c r="D163" s="34">
        <v>25</v>
      </c>
      <c r="E163" s="35" t="s">
        <v>664</v>
      </c>
    </row>
    <row r="164" spans="1:5" x14ac:dyDescent="0.25">
      <c r="A164" s="33" t="s">
        <v>696</v>
      </c>
      <c r="B164" t="s">
        <v>11</v>
      </c>
      <c r="C164">
        <v>1000</v>
      </c>
      <c r="D164" s="34">
        <v>25</v>
      </c>
      <c r="E164" s="35" t="s">
        <v>664</v>
      </c>
    </row>
    <row r="165" spans="1:5" x14ac:dyDescent="0.25">
      <c r="A165" s="33" t="s">
        <v>696</v>
      </c>
      <c r="B165" t="s">
        <v>50</v>
      </c>
      <c r="C165">
        <v>110</v>
      </c>
      <c r="D165" s="34">
        <v>25</v>
      </c>
      <c r="E165" s="35" t="s">
        <v>664</v>
      </c>
    </row>
    <row r="166" spans="1:5" x14ac:dyDescent="0.25">
      <c r="A166" s="33" t="s">
        <v>696</v>
      </c>
      <c r="B166" t="s">
        <v>77</v>
      </c>
      <c r="C166">
        <v>404</v>
      </c>
      <c r="D166" s="34">
        <v>25</v>
      </c>
      <c r="E166" s="35" t="s">
        <v>664</v>
      </c>
    </row>
    <row r="167" spans="1:5" x14ac:dyDescent="0.25">
      <c r="A167" s="33" t="s">
        <v>696</v>
      </c>
      <c r="B167" t="s">
        <v>27</v>
      </c>
      <c r="C167">
        <v>225</v>
      </c>
      <c r="D167" s="34">
        <v>25</v>
      </c>
      <c r="E167" s="35" t="s">
        <v>664</v>
      </c>
    </row>
    <row r="168" spans="1:5" x14ac:dyDescent="0.25">
      <c r="A168" s="33" t="s">
        <v>696</v>
      </c>
      <c r="B168" t="s">
        <v>72</v>
      </c>
      <c r="C168">
        <v>1700</v>
      </c>
      <c r="D168" s="34">
        <v>25</v>
      </c>
      <c r="E168" s="35" t="s">
        <v>664</v>
      </c>
    </row>
    <row r="169" spans="1:5" x14ac:dyDescent="0.25">
      <c r="A169" s="33" t="s">
        <v>696</v>
      </c>
      <c r="B169" t="s">
        <v>85</v>
      </c>
      <c r="C169">
        <v>10</v>
      </c>
      <c r="D169" s="34">
        <v>25</v>
      </c>
      <c r="E169" s="35" t="s">
        <v>664</v>
      </c>
    </row>
    <row r="170" spans="1:5" x14ac:dyDescent="0.25">
      <c r="A170" s="33" t="s">
        <v>696</v>
      </c>
      <c r="B170" t="s">
        <v>13</v>
      </c>
      <c r="C170">
        <v>25.74</v>
      </c>
      <c r="D170" s="34">
        <v>25</v>
      </c>
      <c r="E170" s="35" t="s">
        <v>664</v>
      </c>
    </row>
    <row r="171" spans="1:5" x14ac:dyDescent="0.25">
      <c r="A171" s="33" t="s">
        <v>697</v>
      </c>
      <c r="B171" t="s">
        <v>11</v>
      </c>
      <c r="C171">
        <v>1000</v>
      </c>
      <c r="D171" s="34">
        <v>25</v>
      </c>
      <c r="E171" s="35" t="s">
        <v>665</v>
      </c>
    </row>
    <row r="172" spans="1:5" x14ac:dyDescent="0.25">
      <c r="A172" s="33" t="s">
        <v>697</v>
      </c>
      <c r="B172" t="s">
        <v>13</v>
      </c>
      <c r="C172">
        <v>-25.74</v>
      </c>
      <c r="D172" s="34">
        <v>25</v>
      </c>
      <c r="E172" s="35" t="s">
        <v>665</v>
      </c>
    </row>
    <row r="173" spans="1:5" x14ac:dyDescent="0.25">
      <c r="A173" s="33" t="s">
        <v>697</v>
      </c>
      <c r="B173" t="s">
        <v>77</v>
      </c>
      <c r="C173">
        <v>500</v>
      </c>
      <c r="D173" s="34">
        <v>25</v>
      </c>
      <c r="E173" s="35" t="s">
        <v>665</v>
      </c>
    </row>
    <row r="174" spans="1:5" x14ac:dyDescent="0.25">
      <c r="A174" s="33" t="s">
        <v>697</v>
      </c>
      <c r="B174" t="s">
        <v>8</v>
      </c>
      <c r="C174">
        <v>1261.4000000000001</v>
      </c>
      <c r="D174" s="34">
        <v>25</v>
      </c>
      <c r="E174" s="35" t="s">
        <v>665</v>
      </c>
    </row>
    <row r="175" spans="1:5" x14ac:dyDescent="0.25">
      <c r="A175" s="33" t="s">
        <v>697</v>
      </c>
      <c r="B175" t="s">
        <v>10</v>
      </c>
      <c r="C175">
        <v>1083.25</v>
      </c>
      <c r="D175" s="34">
        <v>25</v>
      </c>
      <c r="E175" s="35" t="s">
        <v>665</v>
      </c>
    </row>
    <row r="176" spans="1:5" x14ac:dyDescent="0.25">
      <c r="A176" s="33" t="s">
        <v>697</v>
      </c>
      <c r="B176" t="s">
        <v>40</v>
      </c>
      <c r="C176">
        <v>4000</v>
      </c>
      <c r="D176" s="34">
        <v>25</v>
      </c>
      <c r="E176" s="35" t="s">
        <v>665</v>
      </c>
    </row>
    <row r="177" spans="1:5" x14ac:dyDescent="0.25">
      <c r="A177" s="33" t="s">
        <v>697</v>
      </c>
      <c r="B177" t="s">
        <v>85</v>
      </c>
      <c r="C177">
        <v>5</v>
      </c>
      <c r="D177" s="34">
        <v>25</v>
      </c>
      <c r="E177" s="35" t="s">
        <v>665</v>
      </c>
    </row>
    <row r="178" spans="1:5" x14ac:dyDescent="0.25">
      <c r="A178" s="33" t="s">
        <v>697</v>
      </c>
      <c r="B178" t="s">
        <v>54</v>
      </c>
      <c r="C178">
        <v>198</v>
      </c>
      <c r="D178" s="34">
        <v>25</v>
      </c>
      <c r="E178" s="35" t="s">
        <v>665</v>
      </c>
    </row>
    <row r="179" spans="1:5" x14ac:dyDescent="0.25">
      <c r="A179" s="33" t="s">
        <v>697</v>
      </c>
      <c r="B179" t="s">
        <v>11</v>
      </c>
      <c r="C179">
        <v>1000</v>
      </c>
      <c r="D179" s="34">
        <v>25</v>
      </c>
      <c r="E179" s="35" t="s">
        <v>665</v>
      </c>
    </row>
    <row r="180" spans="1:5" x14ac:dyDescent="0.25">
      <c r="A180" s="33" t="s">
        <v>697</v>
      </c>
      <c r="B180" t="s">
        <v>11</v>
      </c>
      <c r="C180">
        <v>1000</v>
      </c>
      <c r="D180" s="34">
        <v>25</v>
      </c>
      <c r="E180" s="35" t="s">
        <v>665</v>
      </c>
    </row>
    <row r="181" spans="1:5" x14ac:dyDescent="0.25">
      <c r="A181" s="33" t="s">
        <v>697</v>
      </c>
      <c r="B181" t="s">
        <v>11</v>
      </c>
      <c r="C181">
        <v>1000</v>
      </c>
      <c r="D181" s="34">
        <v>25</v>
      </c>
      <c r="E181" s="35" t="s">
        <v>665</v>
      </c>
    </row>
    <row r="182" spans="1:5" x14ac:dyDescent="0.25">
      <c r="A182" s="33" t="s">
        <v>697</v>
      </c>
      <c r="B182" t="s">
        <v>59</v>
      </c>
      <c r="C182">
        <v>-500</v>
      </c>
      <c r="D182" s="34">
        <v>25</v>
      </c>
      <c r="E182" s="35" t="s">
        <v>665</v>
      </c>
    </row>
    <row r="183" spans="1:5" x14ac:dyDescent="0.25">
      <c r="A183" s="33" t="s">
        <v>697</v>
      </c>
      <c r="B183" t="s">
        <v>59</v>
      </c>
      <c r="C183">
        <v>-1800</v>
      </c>
      <c r="D183" s="34">
        <v>25</v>
      </c>
      <c r="E183" s="35" t="s">
        <v>665</v>
      </c>
    </row>
    <row r="184" spans="1:5" x14ac:dyDescent="0.25">
      <c r="A184" s="33" t="s">
        <v>697</v>
      </c>
      <c r="B184" t="s">
        <v>72</v>
      </c>
      <c r="C184">
        <v>1800</v>
      </c>
      <c r="D184" s="34">
        <v>25</v>
      </c>
      <c r="E184" s="35" t="s">
        <v>665</v>
      </c>
    </row>
    <row r="185" spans="1:5" x14ac:dyDescent="0.25">
      <c r="A185" s="33" t="s">
        <v>697</v>
      </c>
      <c r="B185" t="s">
        <v>11</v>
      </c>
      <c r="C185">
        <v>500</v>
      </c>
      <c r="D185" s="34">
        <v>25</v>
      </c>
      <c r="E185" s="35" t="s">
        <v>665</v>
      </c>
    </row>
    <row r="186" spans="1:5" x14ac:dyDescent="0.25">
      <c r="A186" s="33" t="s">
        <v>697</v>
      </c>
      <c r="B186" t="s">
        <v>13</v>
      </c>
      <c r="C186">
        <v>341.08</v>
      </c>
      <c r="D186" s="34">
        <v>25</v>
      </c>
      <c r="E186" s="35" t="s">
        <v>665</v>
      </c>
    </row>
    <row r="187" spans="1:5" x14ac:dyDescent="0.25">
      <c r="A187" s="33" t="s">
        <v>698</v>
      </c>
      <c r="B187" t="s">
        <v>11</v>
      </c>
      <c r="C187">
        <v>500</v>
      </c>
      <c r="D187" s="34">
        <v>25</v>
      </c>
      <c r="E187" s="35" t="s">
        <v>666</v>
      </c>
    </row>
    <row r="188" spans="1:5" x14ac:dyDescent="0.25">
      <c r="A188" s="33" t="s">
        <v>698</v>
      </c>
      <c r="B188" t="s">
        <v>93</v>
      </c>
      <c r="C188">
        <v>18</v>
      </c>
      <c r="D188" s="34">
        <v>25</v>
      </c>
      <c r="E188" s="35" t="s">
        <v>666</v>
      </c>
    </row>
    <row r="189" spans="1:5" x14ac:dyDescent="0.25">
      <c r="A189" s="33" t="s">
        <v>698</v>
      </c>
      <c r="B189" t="s">
        <v>40</v>
      </c>
      <c r="C189">
        <v>4000</v>
      </c>
      <c r="D189" s="34">
        <v>25</v>
      </c>
      <c r="E189" s="35" t="s">
        <v>666</v>
      </c>
    </row>
    <row r="190" spans="1:5" x14ac:dyDescent="0.25">
      <c r="A190" s="33" t="s">
        <v>698</v>
      </c>
      <c r="B190" t="s">
        <v>13</v>
      </c>
      <c r="C190">
        <v>-341.08</v>
      </c>
      <c r="D190" s="34">
        <v>25</v>
      </c>
      <c r="E190" s="35" t="s">
        <v>666</v>
      </c>
    </row>
    <row r="191" spans="1:5" x14ac:dyDescent="0.25">
      <c r="A191" s="33" t="s">
        <v>698</v>
      </c>
      <c r="B191" t="s">
        <v>8</v>
      </c>
      <c r="C191">
        <v>2553.75</v>
      </c>
      <c r="D191" s="34">
        <v>25</v>
      </c>
      <c r="E191" s="35" t="s">
        <v>666</v>
      </c>
    </row>
    <row r="192" spans="1:5" x14ac:dyDescent="0.25">
      <c r="A192" s="33" t="s">
        <v>698</v>
      </c>
      <c r="B192" t="s">
        <v>11</v>
      </c>
      <c r="C192">
        <v>1000</v>
      </c>
      <c r="D192" s="34">
        <v>25</v>
      </c>
      <c r="E192" s="35" t="s">
        <v>666</v>
      </c>
    </row>
    <row r="193" spans="1:5" x14ac:dyDescent="0.25">
      <c r="A193" s="33" t="s">
        <v>698</v>
      </c>
      <c r="B193" t="s">
        <v>84</v>
      </c>
      <c r="C193">
        <v>50</v>
      </c>
      <c r="D193" s="34">
        <v>25</v>
      </c>
      <c r="E193" s="35" t="s">
        <v>666</v>
      </c>
    </row>
    <row r="194" spans="1:5" x14ac:dyDescent="0.25">
      <c r="A194" s="33" t="s">
        <v>698</v>
      </c>
      <c r="B194" t="s">
        <v>3</v>
      </c>
      <c r="C194">
        <v>170</v>
      </c>
      <c r="D194" s="34">
        <v>25</v>
      </c>
      <c r="E194" s="35" t="s">
        <v>666</v>
      </c>
    </row>
    <row r="195" spans="1:5" x14ac:dyDescent="0.25">
      <c r="A195" s="33" t="s">
        <v>698</v>
      </c>
      <c r="B195" t="s">
        <v>31</v>
      </c>
      <c r="C195">
        <v>298</v>
      </c>
      <c r="D195" s="34">
        <v>25</v>
      </c>
      <c r="E195" s="35" t="s">
        <v>666</v>
      </c>
    </row>
    <row r="196" spans="1:5" x14ac:dyDescent="0.25">
      <c r="A196" s="33" t="s">
        <v>698</v>
      </c>
      <c r="B196" t="s">
        <v>11</v>
      </c>
      <c r="C196">
        <v>1018</v>
      </c>
      <c r="D196" s="34">
        <v>25</v>
      </c>
      <c r="E196" s="35" t="s">
        <v>666</v>
      </c>
    </row>
    <row r="197" spans="1:5" x14ac:dyDescent="0.25">
      <c r="A197" s="33" t="s">
        <v>698</v>
      </c>
      <c r="B197" t="s">
        <v>3</v>
      </c>
      <c r="C197">
        <v>225</v>
      </c>
      <c r="D197" s="34">
        <v>25</v>
      </c>
      <c r="E197" s="35" t="s">
        <v>666</v>
      </c>
    </row>
    <row r="198" spans="1:5" x14ac:dyDescent="0.25">
      <c r="A198" s="33" t="s">
        <v>698</v>
      </c>
      <c r="B198" t="s">
        <v>3</v>
      </c>
      <c r="C198">
        <v>185</v>
      </c>
      <c r="D198" s="34">
        <v>25</v>
      </c>
      <c r="E198" s="35" t="s">
        <v>666</v>
      </c>
    </row>
    <row r="199" spans="1:5" x14ac:dyDescent="0.25">
      <c r="A199" s="33" t="s">
        <v>698</v>
      </c>
      <c r="B199" t="s">
        <v>76</v>
      </c>
      <c r="C199">
        <v>199</v>
      </c>
      <c r="D199" s="34">
        <v>25</v>
      </c>
      <c r="E199" s="35" t="s">
        <v>666</v>
      </c>
    </row>
    <row r="200" spans="1:5" x14ac:dyDescent="0.25">
      <c r="A200" s="33" t="s">
        <v>698</v>
      </c>
      <c r="B200" t="s">
        <v>13</v>
      </c>
      <c r="C200">
        <v>646.07000000000005</v>
      </c>
      <c r="D200" s="34">
        <v>25</v>
      </c>
      <c r="E200" s="35" t="s">
        <v>666</v>
      </c>
    </row>
    <row r="201" spans="1:5" x14ac:dyDescent="0.25">
      <c r="A201" s="33" t="s">
        <v>699</v>
      </c>
      <c r="B201" t="s">
        <v>13</v>
      </c>
      <c r="C201">
        <v>-646.07000000000005</v>
      </c>
      <c r="D201" s="34">
        <v>25</v>
      </c>
      <c r="E201" s="35" t="s">
        <v>667</v>
      </c>
    </row>
    <row r="202" spans="1:5" x14ac:dyDescent="0.25">
      <c r="A202" s="33" t="s">
        <v>699</v>
      </c>
      <c r="B202" t="s">
        <v>8</v>
      </c>
      <c r="C202">
        <v>966.25</v>
      </c>
      <c r="D202" s="34">
        <v>25</v>
      </c>
      <c r="E202" s="35" t="s">
        <v>667</v>
      </c>
    </row>
    <row r="203" spans="1:5" x14ac:dyDescent="0.25">
      <c r="A203" s="33" t="s">
        <v>699</v>
      </c>
      <c r="B203" t="s">
        <v>11</v>
      </c>
      <c r="C203">
        <v>550</v>
      </c>
      <c r="D203" s="34">
        <v>25</v>
      </c>
      <c r="E203" s="35" t="s">
        <v>667</v>
      </c>
    </row>
    <row r="204" spans="1:5" x14ac:dyDescent="0.25">
      <c r="A204" s="33" t="s">
        <v>699</v>
      </c>
      <c r="B204" t="s">
        <v>85</v>
      </c>
      <c r="C204">
        <v>5</v>
      </c>
      <c r="D204" s="34">
        <v>25</v>
      </c>
      <c r="E204" s="35" t="s">
        <v>667</v>
      </c>
    </row>
    <row r="205" spans="1:5" x14ac:dyDescent="0.25">
      <c r="A205" s="33" t="s">
        <v>699</v>
      </c>
      <c r="B205" t="s">
        <v>40</v>
      </c>
      <c r="C205">
        <v>4000</v>
      </c>
      <c r="D205" s="34">
        <v>25</v>
      </c>
      <c r="E205" s="35" t="s">
        <v>667</v>
      </c>
    </row>
    <row r="206" spans="1:5" x14ac:dyDescent="0.25">
      <c r="A206" s="33" t="s">
        <v>699</v>
      </c>
      <c r="B206" t="s">
        <v>31</v>
      </c>
      <c r="C206">
        <v>225</v>
      </c>
      <c r="D206" s="34">
        <v>25</v>
      </c>
      <c r="E206" s="35" t="s">
        <v>667</v>
      </c>
    </row>
    <row r="207" spans="1:5" x14ac:dyDescent="0.25">
      <c r="A207" s="33" t="s">
        <v>699</v>
      </c>
      <c r="B207" t="s">
        <v>31</v>
      </c>
      <c r="C207">
        <v>420</v>
      </c>
      <c r="D207" s="34">
        <v>25</v>
      </c>
      <c r="E207" s="35" t="s">
        <v>667</v>
      </c>
    </row>
    <row r="208" spans="1:5" x14ac:dyDescent="0.25">
      <c r="A208" s="33" t="s">
        <v>699</v>
      </c>
      <c r="B208" t="s">
        <v>88</v>
      </c>
      <c r="C208">
        <v>450</v>
      </c>
      <c r="D208" s="34">
        <v>25</v>
      </c>
      <c r="E208" s="35" t="s">
        <v>667</v>
      </c>
    </row>
    <row r="209" spans="1:5" x14ac:dyDescent="0.25">
      <c r="A209" s="33" t="s">
        <v>699</v>
      </c>
      <c r="B209" t="s">
        <v>84</v>
      </c>
      <c r="C209">
        <v>50</v>
      </c>
      <c r="D209" s="34">
        <v>25</v>
      </c>
      <c r="E209" s="35" t="s">
        <v>667</v>
      </c>
    </row>
    <row r="210" spans="1:5" x14ac:dyDescent="0.25">
      <c r="A210" s="33" t="s">
        <v>699</v>
      </c>
      <c r="B210" t="s">
        <v>85</v>
      </c>
      <c r="C210">
        <v>5</v>
      </c>
      <c r="D210" s="34">
        <v>25</v>
      </c>
      <c r="E210" s="35" t="s">
        <v>667</v>
      </c>
    </row>
    <row r="211" spans="1:5" x14ac:dyDescent="0.25">
      <c r="A211" s="33" t="s">
        <v>699</v>
      </c>
      <c r="B211" t="s">
        <v>11</v>
      </c>
      <c r="C211">
        <v>1000</v>
      </c>
      <c r="D211" s="34">
        <v>25</v>
      </c>
      <c r="E211" s="35" t="s">
        <v>667</v>
      </c>
    </row>
    <row r="212" spans="1:5" x14ac:dyDescent="0.25">
      <c r="A212" s="33" t="s">
        <v>699</v>
      </c>
      <c r="B212" t="s">
        <v>31</v>
      </c>
      <c r="C212">
        <v>255</v>
      </c>
      <c r="D212" s="34">
        <v>25</v>
      </c>
      <c r="E212" s="35" t="s">
        <v>667</v>
      </c>
    </row>
    <row r="213" spans="1:5" x14ac:dyDescent="0.25">
      <c r="A213" s="33" t="s">
        <v>699</v>
      </c>
      <c r="B213" t="s">
        <v>11</v>
      </c>
      <c r="C213">
        <v>505</v>
      </c>
      <c r="D213" s="34">
        <v>25</v>
      </c>
      <c r="E213" s="35" t="s">
        <v>667</v>
      </c>
    </row>
    <row r="214" spans="1:5" x14ac:dyDescent="0.25">
      <c r="A214" s="33" t="s">
        <v>699</v>
      </c>
      <c r="B214" t="s">
        <v>11</v>
      </c>
      <c r="C214">
        <v>1000</v>
      </c>
      <c r="D214" s="34">
        <v>25</v>
      </c>
      <c r="E214" s="35" t="s">
        <v>667</v>
      </c>
    </row>
    <row r="215" spans="1:5" x14ac:dyDescent="0.25">
      <c r="A215" s="33" t="s">
        <v>699</v>
      </c>
      <c r="B215" t="s">
        <v>93</v>
      </c>
      <c r="C215">
        <v>18</v>
      </c>
      <c r="D215" s="34">
        <v>25</v>
      </c>
      <c r="E215" s="35" t="s">
        <v>667</v>
      </c>
    </row>
    <row r="216" spans="1:5" x14ac:dyDescent="0.25">
      <c r="A216" s="33" t="s">
        <v>699</v>
      </c>
      <c r="B216" t="s">
        <v>11</v>
      </c>
      <c r="C216">
        <v>1000</v>
      </c>
      <c r="D216" s="34">
        <v>25</v>
      </c>
      <c r="E216" s="35" t="s">
        <v>667</v>
      </c>
    </row>
    <row r="217" spans="1:5" x14ac:dyDescent="0.25">
      <c r="A217" s="33" t="s">
        <v>699</v>
      </c>
      <c r="B217" t="s">
        <v>72</v>
      </c>
      <c r="C217">
        <v>500</v>
      </c>
      <c r="D217" s="34">
        <v>25</v>
      </c>
      <c r="E217" s="35" t="s">
        <v>667</v>
      </c>
    </row>
    <row r="218" spans="1:5" x14ac:dyDescent="0.25">
      <c r="A218" s="33" t="s">
        <v>699</v>
      </c>
      <c r="B218" t="s">
        <v>85</v>
      </c>
      <c r="C218">
        <v>5</v>
      </c>
      <c r="D218" s="34">
        <v>25</v>
      </c>
      <c r="E218" s="35" t="s">
        <v>667</v>
      </c>
    </row>
    <row r="219" spans="1:5" x14ac:dyDescent="0.25">
      <c r="A219" s="33" t="s">
        <v>699</v>
      </c>
      <c r="B219" t="s">
        <v>13</v>
      </c>
      <c r="C219">
        <v>131.88999999999899</v>
      </c>
      <c r="D219" s="34">
        <v>25</v>
      </c>
      <c r="E219" s="35" t="s">
        <v>667</v>
      </c>
    </row>
    <row r="220" spans="1:5" x14ac:dyDescent="0.25">
      <c r="A220" s="33" t="s">
        <v>700</v>
      </c>
      <c r="B220" t="s">
        <v>13</v>
      </c>
      <c r="C220">
        <v>-131.88999999999899</v>
      </c>
      <c r="D220" s="34">
        <v>25</v>
      </c>
      <c r="E220" s="35" t="s">
        <v>668</v>
      </c>
    </row>
    <row r="221" spans="1:5" x14ac:dyDescent="0.25">
      <c r="A221" s="33" t="s">
        <v>700</v>
      </c>
      <c r="B221" t="s">
        <v>40</v>
      </c>
      <c r="C221">
        <v>4000</v>
      </c>
      <c r="D221" s="34">
        <v>25</v>
      </c>
      <c r="E221" s="35" t="s">
        <v>668</v>
      </c>
    </row>
    <row r="222" spans="1:5" x14ac:dyDescent="0.25">
      <c r="A222" s="33" t="s">
        <v>700</v>
      </c>
      <c r="B222" t="s">
        <v>8</v>
      </c>
      <c r="C222">
        <v>1650.91</v>
      </c>
      <c r="D222" s="34">
        <v>25</v>
      </c>
      <c r="E222" s="35" t="s">
        <v>668</v>
      </c>
    </row>
    <row r="223" spans="1:5" x14ac:dyDescent="0.25">
      <c r="A223" s="33" t="s">
        <v>700</v>
      </c>
      <c r="B223" t="s">
        <v>8</v>
      </c>
      <c r="C223">
        <v>399</v>
      </c>
      <c r="D223" s="34">
        <v>25</v>
      </c>
      <c r="E223" s="35" t="s">
        <v>668</v>
      </c>
    </row>
    <row r="224" spans="1:5" x14ac:dyDescent="0.25">
      <c r="A224" s="33" t="s">
        <v>700</v>
      </c>
      <c r="B224" t="s">
        <v>85</v>
      </c>
      <c r="C224">
        <v>5</v>
      </c>
      <c r="D224" s="34">
        <v>25</v>
      </c>
      <c r="E224" s="35" t="s">
        <v>668</v>
      </c>
    </row>
    <row r="225" spans="1:5" x14ac:dyDescent="0.25">
      <c r="A225" s="33" t="s">
        <v>700</v>
      </c>
      <c r="B225" t="s">
        <v>11</v>
      </c>
      <c r="C225">
        <v>1000</v>
      </c>
      <c r="D225" s="34">
        <v>25</v>
      </c>
      <c r="E225" s="35" t="s">
        <v>668</v>
      </c>
    </row>
    <row r="226" spans="1:5" x14ac:dyDescent="0.25">
      <c r="A226" s="33" t="s">
        <v>700</v>
      </c>
      <c r="B226" t="s">
        <v>11</v>
      </c>
      <c r="C226">
        <v>1000</v>
      </c>
      <c r="D226" s="34">
        <v>25</v>
      </c>
      <c r="E226" s="35" t="s">
        <v>668</v>
      </c>
    </row>
    <row r="227" spans="1:5" x14ac:dyDescent="0.25">
      <c r="A227" s="33" t="s">
        <v>700</v>
      </c>
      <c r="B227" t="s">
        <v>72</v>
      </c>
      <c r="C227">
        <v>2000</v>
      </c>
      <c r="D227" s="34">
        <v>25</v>
      </c>
      <c r="E227" s="35" t="s">
        <v>668</v>
      </c>
    </row>
    <row r="228" spans="1:5" x14ac:dyDescent="0.25">
      <c r="A228" s="33" t="s">
        <v>700</v>
      </c>
      <c r="B228" t="s">
        <v>13</v>
      </c>
      <c r="C228">
        <v>3.71999999999935</v>
      </c>
      <c r="D228" s="34">
        <v>25</v>
      </c>
      <c r="E228" s="35" t="s">
        <v>668</v>
      </c>
    </row>
    <row r="229" spans="1:5" x14ac:dyDescent="0.25">
      <c r="A229" s="33" t="s">
        <v>701</v>
      </c>
      <c r="B229" t="s">
        <v>36</v>
      </c>
      <c r="C229">
        <v>700</v>
      </c>
      <c r="D229" s="34">
        <v>25</v>
      </c>
      <c r="E229" s="35" t="s">
        <v>669</v>
      </c>
    </row>
    <row r="230" spans="1:5" x14ac:dyDescent="0.25">
      <c r="A230" s="33" t="s">
        <v>701</v>
      </c>
      <c r="B230" t="s">
        <v>11</v>
      </c>
      <c r="C230">
        <v>300</v>
      </c>
      <c r="D230" s="34">
        <v>25</v>
      </c>
      <c r="E230" s="35" t="s">
        <v>669</v>
      </c>
    </row>
    <row r="231" spans="1:5" x14ac:dyDescent="0.25">
      <c r="A231" s="33" t="s">
        <v>701</v>
      </c>
      <c r="B231" t="s">
        <v>8</v>
      </c>
      <c r="C231">
        <v>1966.9</v>
      </c>
      <c r="D231" s="34">
        <v>25</v>
      </c>
      <c r="E231" s="35" t="s">
        <v>669</v>
      </c>
    </row>
    <row r="232" spans="1:5" x14ac:dyDescent="0.25">
      <c r="A232" s="33" t="s">
        <v>701</v>
      </c>
      <c r="B232" t="s">
        <v>40</v>
      </c>
      <c r="C232">
        <v>4000</v>
      </c>
      <c r="D232" s="34">
        <v>25</v>
      </c>
      <c r="E232" s="35" t="s">
        <v>669</v>
      </c>
    </row>
    <row r="233" spans="1:5" x14ac:dyDescent="0.25">
      <c r="A233" s="33" t="s">
        <v>701</v>
      </c>
      <c r="B233" t="s">
        <v>87</v>
      </c>
      <c r="C233">
        <v>1005</v>
      </c>
      <c r="D233" s="34">
        <v>25</v>
      </c>
      <c r="E233" s="35" t="s">
        <v>669</v>
      </c>
    </row>
    <row r="234" spans="1:5" x14ac:dyDescent="0.25">
      <c r="A234" s="33" t="s">
        <v>701</v>
      </c>
      <c r="B234" t="s">
        <v>8</v>
      </c>
      <c r="C234">
        <v>700</v>
      </c>
      <c r="D234" s="34">
        <v>25</v>
      </c>
      <c r="E234" s="35" t="s">
        <v>669</v>
      </c>
    </row>
    <row r="235" spans="1:5" x14ac:dyDescent="0.25">
      <c r="A235" s="33" t="s">
        <v>701</v>
      </c>
      <c r="B235" t="s">
        <v>13</v>
      </c>
      <c r="C235">
        <v>-3.71999999999935</v>
      </c>
      <c r="D235" s="34">
        <v>25</v>
      </c>
      <c r="E235" s="35" t="s">
        <v>669</v>
      </c>
    </row>
    <row r="236" spans="1:5" x14ac:dyDescent="0.25">
      <c r="A236" s="33" t="s">
        <v>701</v>
      </c>
      <c r="B236" t="s">
        <v>13</v>
      </c>
      <c r="C236">
        <v>-611.00999999999499</v>
      </c>
      <c r="D236" s="34">
        <v>25</v>
      </c>
      <c r="E236" s="35" t="s">
        <v>669</v>
      </c>
    </row>
    <row r="237" spans="1:5" x14ac:dyDescent="0.25">
      <c r="A237" s="33" t="s">
        <v>701</v>
      </c>
      <c r="B237" t="s">
        <v>85</v>
      </c>
      <c r="C237">
        <v>5</v>
      </c>
      <c r="D237" s="34">
        <v>25</v>
      </c>
      <c r="E237" s="35" t="s">
        <v>669</v>
      </c>
    </row>
    <row r="238" spans="1:5" x14ac:dyDescent="0.25">
      <c r="A238" s="33" t="s">
        <v>701</v>
      </c>
      <c r="B238" t="s">
        <v>83</v>
      </c>
      <c r="C238">
        <v>278.5</v>
      </c>
      <c r="D238" s="34">
        <v>25</v>
      </c>
      <c r="E238" s="35" t="s">
        <v>669</v>
      </c>
    </row>
    <row r="239" spans="1:5" x14ac:dyDescent="0.25">
      <c r="A239" s="33" t="s">
        <v>701</v>
      </c>
      <c r="B239" t="s">
        <v>87</v>
      </c>
      <c r="C239">
        <v>2005</v>
      </c>
      <c r="D239" s="34">
        <v>25</v>
      </c>
      <c r="E239" s="35" t="s">
        <v>669</v>
      </c>
    </row>
    <row r="240" spans="1:5" x14ac:dyDescent="0.25">
      <c r="A240" s="33" t="s">
        <v>701</v>
      </c>
      <c r="B240" t="s">
        <v>37</v>
      </c>
      <c r="C240">
        <v>1500</v>
      </c>
      <c r="D240" s="34">
        <v>25</v>
      </c>
      <c r="E240" s="35" t="s">
        <v>669</v>
      </c>
    </row>
    <row r="241" spans="1:5" x14ac:dyDescent="0.25">
      <c r="A241" s="33" t="s">
        <v>701</v>
      </c>
      <c r="B241" t="s">
        <v>11</v>
      </c>
      <c r="C241">
        <v>1000</v>
      </c>
      <c r="D241" s="34">
        <v>25</v>
      </c>
      <c r="E241" s="35" t="s">
        <v>669</v>
      </c>
    </row>
    <row r="242" spans="1:5" x14ac:dyDescent="0.25">
      <c r="A242" s="33" t="s">
        <v>701</v>
      </c>
      <c r="B242" t="s">
        <v>52</v>
      </c>
      <c r="C242">
        <v>305</v>
      </c>
      <c r="D242" s="34">
        <v>25</v>
      </c>
      <c r="E242" s="35" t="s">
        <v>669</v>
      </c>
    </row>
    <row r="243" spans="1:5" x14ac:dyDescent="0.25">
      <c r="A243" s="33" t="s">
        <v>701</v>
      </c>
      <c r="B243" t="s">
        <v>50</v>
      </c>
      <c r="C243">
        <v>100</v>
      </c>
      <c r="D243" s="34">
        <v>25</v>
      </c>
      <c r="E243" s="35" t="s">
        <v>669</v>
      </c>
    </row>
    <row r="244" spans="1:5" x14ac:dyDescent="0.25">
      <c r="A244" s="33" t="s">
        <v>701</v>
      </c>
      <c r="B244" t="s">
        <v>76</v>
      </c>
      <c r="C244">
        <v>199</v>
      </c>
      <c r="D244" s="34">
        <v>25</v>
      </c>
      <c r="E244" s="35" t="s">
        <v>669</v>
      </c>
    </row>
    <row r="245" spans="1:5" x14ac:dyDescent="0.25">
      <c r="A245" s="33" t="s">
        <v>701</v>
      </c>
      <c r="B245" t="s">
        <v>87</v>
      </c>
      <c r="C245">
        <v>-3000</v>
      </c>
      <c r="D245" s="34">
        <v>25</v>
      </c>
      <c r="E245" s="35" t="s">
        <v>669</v>
      </c>
    </row>
    <row r="246" spans="1:5" x14ac:dyDescent="0.25">
      <c r="A246" s="33" t="s">
        <v>701</v>
      </c>
      <c r="B246" t="s">
        <v>72</v>
      </c>
      <c r="C246">
        <v>3000</v>
      </c>
      <c r="D246" s="34">
        <v>25</v>
      </c>
      <c r="E246" s="35" t="s">
        <v>669</v>
      </c>
    </row>
    <row r="247" spans="1:5" x14ac:dyDescent="0.25">
      <c r="A247" s="33" t="s">
        <v>701</v>
      </c>
      <c r="B247" t="s">
        <v>13</v>
      </c>
      <c r="C247">
        <v>283.219999999994</v>
      </c>
      <c r="D247" s="34">
        <v>25</v>
      </c>
      <c r="E247" s="35" t="s">
        <v>669</v>
      </c>
    </row>
    <row r="248" spans="1:5" x14ac:dyDescent="0.25">
      <c r="A248" s="33" t="s">
        <v>702</v>
      </c>
      <c r="B248" t="s">
        <v>13</v>
      </c>
      <c r="C248">
        <v>-283.219999999994</v>
      </c>
      <c r="D248" s="34">
        <v>25</v>
      </c>
      <c r="E248" s="35" t="s">
        <v>670</v>
      </c>
    </row>
    <row r="249" spans="1:5" x14ac:dyDescent="0.25">
      <c r="A249" s="33" t="s">
        <v>702</v>
      </c>
      <c r="B249" t="s">
        <v>40</v>
      </c>
      <c r="C249">
        <v>4000</v>
      </c>
      <c r="D249" s="34">
        <v>25</v>
      </c>
      <c r="E249" s="35" t="s">
        <v>670</v>
      </c>
    </row>
    <row r="250" spans="1:5" x14ac:dyDescent="0.25">
      <c r="A250" s="33" t="s">
        <v>702</v>
      </c>
      <c r="B250" t="s">
        <v>8</v>
      </c>
      <c r="C250">
        <v>4374.99</v>
      </c>
      <c r="D250" s="34">
        <v>25</v>
      </c>
      <c r="E250" s="35" t="s">
        <v>670</v>
      </c>
    </row>
    <row r="251" spans="1:5" x14ac:dyDescent="0.25">
      <c r="A251" s="33" t="s">
        <v>702</v>
      </c>
      <c r="B251" t="s">
        <v>72</v>
      </c>
      <c r="C251">
        <v>173.17</v>
      </c>
      <c r="D251" s="34">
        <v>25</v>
      </c>
      <c r="E251" s="35" t="s">
        <v>670</v>
      </c>
    </row>
    <row r="252" spans="1:5" x14ac:dyDescent="0.25">
      <c r="A252" s="33" t="s">
        <v>702</v>
      </c>
      <c r="B252" t="s">
        <v>79</v>
      </c>
      <c r="C252">
        <v>0.6</v>
      </c>
      <c r="D252" s="34">
        <v>25</v>
      </c>
      <c r="E252" s="35" t="s">
        <v>670</v>
      </c>
    </row>
    <row r="253" spans="1:5" x14ac:dyDescent="0.25">
      <c r="A253" s="33" t="s">
        <v>702</v>
      </c>
      <c r="B253" t="s">
        <v>41</v>
      </c>
      <c r="C253">
        <v>-2.98</v>
      </c>
      <c r="D253" s="34">
        <v>25</v>
      </c>
      <c r="E253" s="35" t="s">
        <v>670</v>
      </c>
    </row>
    <row r="254" spans="1:5" x14ac:dyDescent="0.25">
      <c r="A254" s="33" t="s">
        <v>702</v>
      </c>
      <c r="B254" t="s">
        <v>15</v>
      </c>
      <c r="C254">
        <v>500</v>
      </c>
      <c r="D254" s="34">
        <v>25</v>
      </c>
      <c r="E254" s="35" t="s">
        <v>670</v>
      </c>
    </row>
    <row r="255" spans="1:5" x14ac:dyDescent="0.25">
      <c r="A255" s="33" t="s">
        <v>702</v>
      </c>
      <c r="B255" t="s">
        <v>11</v>
      </c>
      <c r="C255">
        <v>1000</v>
      </c>
      <c r="D255" s="34">
        <v>25</v>
      </c>
      <c r="E255" s="35" t="s">
        <v>670</v>
      </c>
    </row>
    <row r="256" spans="1:5" x14ac:dyDescent="0.25">
      <c r="A256" s="33" t="s">
        <v>702</v>
      </c>
      <c r="B256" t="s">
        <v>85</v>
      </c>
      <c r="C256">
        <v>20</v>
      </c>
      <c r="D256" s="34">
        <v>25</v>
      </c>
      <c r="E256" s="35" t="s">
        <v>670</v>
      </c>
    </row>
    <row r="257" spans="1:5" x14ac:dyDescent="0.25">
      <c r="A257" s="33" t="s">
        <v>702</v>
      </c>
      <c r="B257" t="s">
        <v>13</v>
      </c>
      <c r="C257">
        <v>144.17999999999299</v>
      </c>
      <c r="D257" s="34">
        <v>25</v>
      </c>
      <c r="E257" s="35" t="s">
        <v>670</v>
      </c>
    </row>
    <row r="258" spans="1:5" x14ac:dyDescent="0.25">
      <c r="A258" s="33" t="s">
        <v>703</v>
      </c>
      <c r="B258" t="s">
        <v>13</v>
      </c>
      <c r="C258">
        <v>-144.17999999999299</v>
      </c>
      <c r="D258" s="34">
        <v>25</v>
      </c>
      <c r="E258" s="35" t="s">
        <v>704</v>
      </c>
    </row>
    <row r="259" spans="1:5" x14ac:dyDescent="0.25">
      <c r="A259" s="33" t="s">
        <v>703</v>
      </c>
      <c r="B259" t="s">
        <v>40</v>
      </c>
      <c r="C259">
        <v>4000</v>
      </c>
      <c r="D259" s="34">
        <v>25</v>
      </c>
      <c r="E259" s="35" t="s">
        <v>704</v>
      </c>
    </row>
    <row r="260" spans="1:5" x14ac:dyDescent="0.25">
      <c r="A260" s="33" t="s">
        <v>703</v>
      </c>
      <c r="B260" t="s">
        <v>8</v>
      </c>
      <c r="C260">
        <v>2163.1</v>
      </c>
      <c r="D260" s="34">
        <v>25</v>
      </c>
      <c r="E260" s="35" t="s">
        <v>704</v>
      </c>
    </row>
    <row r="261" spans="1:5" x14ac:dyDescent="0.25">
      <c r="A261" s="33" t="s">
        <v>703</v>
      </c>
      <c r="B261" t="s">
        <v>34</v>
      </c>
      <c r="C261">
        <v>500</v>
      </c>
      <c r="D261" s="34">
        <v>25</v>
      </c>
      <c r="E261" s="35" t="s">
        <v>704</v>
      </c>
    </row>
    <row r="262" spans="1:5" x14ac:dyDescent="0.25">
      <c r="A262" s="33" t="s">
        <v>703</v>
      </c>
      <c r="B262" t="s">
        <v>85</v>
      </c>
      <c r="C262">
        <v>10</v>
      </c>
      <c r="D262" s="34">
        <v>25</v>
      </c>
      <c r="E262" s="35" t="s">
        <v>704</v>
      </c>
    </row>
    <row r="263" spans="1:5" x14ac:dyDescent="0.25">
      <c r="A263" s="33" t="s">
        <v>703</v>
      </c>
      <c r="B263" t="s">
        <v>92</v>
      </c>
      <c r="C263">
        <v>1000</v>
      </c>
      <c r="D263" s="34">
        <v>25</v>
      </c>
      <c r="E263" s="35" t="s">
        <v>704</v>
      </c>
    </row>
    <row r="264" spans="1:5" x14ac:dyDescent="0.25">
      <c r="A264" s="33" t="s">
        <v>703</v>
      </c>
      <c r="B264" t="s">
        <v>85</v>
      </c>
      <c r="C264">
        <v>5</v>
      </c>
      <c r="D264" s="34">
        <v>25</v>
      </c>
      <c r="E264" s="35" t="s">
        <v>704</v>
      </c>
    </row>
    <row r="265" spans="1:5" x14ac:dyDescent="0.25">
      <c r="A265" s="33" t="s">
        <v>703</v>
      </c>
      <c r="B265" t="s">
        <v>76</v>
      </c>
      <c r="C265">
        <v>229</v>
      </c>
      <c r="D265" s="34">
        <v>25</v>
      </c>
      <c r="E265" s="35" t="s">
        <v>704</v>
      </c>
    </row>
    <row r="266" spans="1:5" x14ac:dyDescent="0.25">
      <c r="A266" s="33" t="s">
        <v>703</v>
      </c>
      <c r="B266" t="s">
        <v>17</v>
      </c>
      <c r="C266">
        <v>110</v>
      </c>
      <c r="D266" s="34">
        <v>25</v>
      </c>
      <c r="E266" s="35" t="s">
        <v>704</v>
      </c>
    </row>
    <row r="267" spans="1:5" x14ac:dyDescent="0.25">
      <c r="A267" s="33" t="s">
        <v>703</v>
      </c>
      <c r="B267" t="s">
        <v>87</v>
      </c>
      <c r="C267">
        <v>1510</v>
      </c>
      <c r="D267" s="34">
        <v>25</v>
      </c>
      <c r="E267" s="35" t="s">
        <v>704</v>
      </c>
    </row>
    <row r="268" spans="1:5" x14ac:dyDescent="0.25">
      <c r="A268" s="33" t="s">
        <v>703</v>
      </c>
      <c r="B268" t="s">
        <v>92</v>
      </c>
      <c r="C268">
        <v>500</v>
      </c>
      <c r="D268" s="34">
        <v>25</v>
      </c>
      <c r="E268" s="35" t="s">
        <v>704</v>
      </c>
    </row>
    <row r="269" spans="1:5" x14ac:dyDescent="0.25">
      <c r="A269" s="33" t="s">
        <v>703</v>
      </c>
      <c r="B269" t="s">
        <v>87</v>
      </c>
      <c r="C269">
        <v>1510</v>
      </c>
      <c r="D269" s="34">
        <v>25</v>
      </c>
      <c r="E269" s="35" t="s">
        <v>704</v>
      </c>
    </row>
    <row r="270" spans="1:5" x14ac:dyDescent="0.25">
      <c r="A270" s="33" t="s">
        <v>703</v>
      </c>
      <c r="B270" t="s">
        <v>13</v>
      </c>
      <c r="C270">
        <v>462.15999999999298</v>
      </c>
      <c r="D270" s="34">
        <v>25</v>
      </c>
      <c r="E270" s="35" t="s">
        <v>704</v>
      </c>
    </row>
    <row r="271" spans="1:5" x14ac:dyDescent="0.25">
      <c r="A271" s="33" t="s">
        <v>705</v>
      </c>
      <c r="B271" t="s">
        <v>13</v>
      </c>
      <c r="C271">
        <v>-462.15999999999298</v>
      </c>
      <c r="D271" s="34">
        <v>25</v>
      </c>
      <c r="E271" s="35" t="s">
        <v>706</v>
      </c>
    </row>
    <row r="272" spans="1:5" x14ac:dyDescent="0.25">
      <c r="A272" s="33" t="s">
        <v>705</v>
      </c>
      <c r="B272" t="s">
        <v>40</v>
      </c>
      <c r="C272">
        <v>4000</v>
      </c>
      <c r="D272" s="34">
        <v>25</v>
      </c>
      <c r="E272" s="35" t="s">
        <v>706</v>
      </c>
    </row>
    <row r="273" spans="1:5" x14ac:dyDescent="0.25">
      <c r="A273" s="33" t="s">
        <v>705</v>
      </c>
      <c r="B273" t="s">
        <v>8</v>
      </c>
      <c r="C273">
        <v>3498.14</v>
      </c>
      <c r="D273" s="34">
        <v>25</v>
      </c>
      <c r="E273" s="35" t="s">
        <v>706</v>
      </c>
    </row>
    <row r="274" spans="1:5" x14ac:dyDescent="0.25">
      <c r="A274" s="33" t="s">
        <v>705</v>
      </c>
      <c r="B274" t="s">
        <v>83</v>
      </c>
      <c r="C274">
        <v>600</v>
      </c>
      <c r="D274" s="34">
        <v>25</v>
      </c>
      <c r="E274" s="35" t="s">
        <v>706</v>
      </c>
    </row>
    <row r="275" spans="1:5" x14ac:dyDescent="0.25">
      <c r="A275" s="33" t="s">
        <v>705</v>
      </c>
      <c r="B275" t="s">
        <v>85</v>
      </c>
      <c r="C275">
        <v>5</v>
      </c>
      <c r="D275" s="34">
        <v>25</v>
      </c>
      <c r="E275" s="35" t="s">
        <v>706</v>
      </c>
    </row>
    <row r="276" spans="1:5" x14ac:dyDescent="0.25">
      <c r="A276" s="33" t="s">
        <v>705</v>
      </c>
      <c r="B276" t="s">
        <v>10</v>
      </c>
      <c r="C276">
        <v>1083.25</v>
      </c>
      <c r="D276" s="34">
        <v>25</v>
      </c>
      <c r="E276" s="35" t="s">
        <v>706</v>
      </c>
    </row>
    <row r="277" spans="1:5" x14ac:dyDescent="0.25">
      <c r="A277" s="33" t="s">
        <v>705</v>
      </c>
      <c r="B277" t="s">
        <v>55</v>
      </c>
      <c r="C277">
        <v>281.79000000000002</v>
      </c>
      <c r="D277" s="34">
        <v>25</v>
      </c>
      <c r="E277" s="35" t="s">
        <v>706</v>
      </c>
    </row>
    <row r="278" spans="1:5" x14ac:dyDescent="0.25">
      <c r="A278" s="33" t="s">
        <v>705</v>
      </c>
      <c r="B278" t="s">
        <v>84</v>
      </c>
      <c r="C278">
        <v>900</v>
      </c>
      <c r="D278" s="34">
        <v>25</v>
      </c>
      <c r="E278" s="35" t="s">
        <v>706</v>
      </c>
    </row>
    <row r="279" spans="1:5" x14ac:dyDescent="0.25">
      <c r="A279" s="33" t="s">
        <v>705</v>
      </c>
      <c r="B279" t="s">
        <v>85</v>
      </c>
      <c r="C279">
        <v>10</v>
      </c>
      <c r="D279" s="34">
        <v>25</v>
      </c>
      <c r="E279" s="35" t="s">
        <v>706</v>
      </c>
    </row>
    <row r="280" spans="1:5" x14ac:dyDescent="0.25">
      <c r="A280" s="33" t="s">
        <v>705</v>
      </c>
      <c r="B280" t="s">
        <v>13</v>
      </c>
      <c r="C280">
        <v>10.72</v>
      </c>
      <c r="D280" s="34">
        <v>25</v>
      </c>
      <c r="E280" s="35" t="s">
        <v>706</v>
      </c>
    </row>
    <row r="281" spans="1:5" x14ac:dyDescent="0.25">
      <c r="A281" s="33" t="s">
        <v>707</v>
      </c>
      <c r="B281" t="s">
        <v>13</v>
      </c>
      <c r="C281">
        <v>-10.72</v>
      </c>
      <c r="D281" s="34">
        <v>25</v>
      </c>
      <c r="E281" s="35" t="s">
        <v>671</v>
      </c>
    </row>
    <row r="282" spans="1:5" x14ac:dyDescent="0.25">
      <c r="A282" s="33" t="s">
        <v>707</v>
      </c>
      <c r="B282" t="s">
        <v>40</v>
      </c>
      <c r="C282">
        <v>4000</v>
      </c>
      <c r="D282" s="34">
        <v>25</v>
      </c>
      <c r="E282" s="35" t="s">
        <v>671</v>
      </c>
    </row>
    <row r="283" spans="1:5" x14ac:dyDescent="0.25">
      <c r="A283" s="33" t="s">
        <v>707</v>
      </c>
      <c r="B283" t="s">
        <v>8</v>
      </c>
      <c r="C283">
        <v>3119.03</v>
      </c>
      <c r="D283" s="34">
        <v>25</v>
      </c>
      <c r="E283" s="35" t="s">
        <v>671</v>
      </c>
    </row>
    <row r="284" spans="1:5" x14ac:dyDescent="0.25">
      <c r="A284" s="33" t="s">
        <v>707</v>
      </c>
      <c r="B284" t="s">
        <v>37</v>
      </c>
      <c r="C284">
        <v>1404.05</v>
      </c>
      <c r="D284" s="34">
        <v>25</v>
      </c>
      <c r="E284" s="35" t="s">
        <v>671</v>
      </c>
    </row>
    <row r="285" spans="1:5" x14ac:dyDescent="0.25">
      <c r="A285" s="33" t="s">
        <v>707</v>
      </c>
      <c r="B285" t="s">
        <v>85</v>
      </c>
      <c r="C285">
        <v>5</v>
      </c>
      <c r="D285" s="34">
        <v>25</v>
      </c>
      <c r="E285" s="35" t="s">
        <v>671</v>
      </c>
    </row>
    <row r="286" spans="1:5" x14ac:dyDescent="0.25">
      <c r="A286" s="33" t="s">
        <v>707</v>
      </c>
      <c r="B286" t="s">
        <v>11</v>
      </c>
      <c r="C286">
        <v>1000</v>
      </c>
      <c r="D286" s="34">
        <v>25</v>
      </c>
      <c r="E286" s="35" t="s">
        <v>671</v>
      </c>
    </row>
    <row r="287" spans="1:5" x14ac:dyDescent="0.25">
      <c r="A287" s="33" t="s">
        <v>707</v>
      </c>
      <c r="B287" t="s">
        <v>93</v>
      </c>
      <c r="C287">
        <v>18</v>
      </c>
      <c r="D287" s="34">
        <v>25</v>
      </c>
      <c r="E287" s="35" t="s">
        <v>671</v>
      </c>
    </row>
    <row r="288" spans="1:5" x14ac:dyDescent="0.25">
      <c r="A288" s="33" t="s">
        <v>707</v>
      </c>
      <c r="B288" t="s">
        <v>76</v>
      </c>
      <c r="C288">
        <v>232.44</v>
      </c>
      <c r="D288" s="34">
        <v>25</v>
      </c>
      <c r="E288" s="35" t="s">
        <v>671</v>
      </c>
    </row>
    <row r="289" spans="1:5" x14ac:dyDescent="0.25">
      <c r="A289" s="33" t="s">
        <v>707</v>
      </c>
      <c r="B289" t="s">
        <v>11</v>
      </c>
      <c r="C289">
        <v>250</v>
      </c>
      <c r="D289" s="34">
        <v>25</v>
      </c>
      <c r="E289" s="35" t="s">
        <v>671</v>
      </c>
    </row>
    <row r="290" spans="1:5" x14ac:dyDescent="0.25">
      <c r="A290" s="33" t="s">
        <v>707</v>
      </c>
      <c r="B290" t="s">
        <v>17</v>
      </c>
      <c r="C290">
        <v>170</v>
      </c>
      <c r="D290" s="34">
        <v>25</v>
      </c>
      <c r="E290" s="35" t="s">
        <v>671</v>
      </c>
    </row>
    <row r="291" spans="1:5" x14ac:dyDescent="0.25">
      <c r="A291" s="33" t="s">
        <v>707</v>
      </c>
      <c r="B291" t="s">
        <v>3</v>
      </c>
      <c r="C291">
        <v>190</v>
      </c>
      <c r="D291" s="34">
        <v>25</v>
      </c>
      <c r="E291" s="35" t="s">
        <v>671</v>
      </c>
    </row>
    <row r="292" spans="1:5" x14ac:dyDescent="0.25">
      <c r="A292" s="33" t="s">
        <v>707</v>
      </c>
      <c r="B292" t="s">
        <v>13</v>
      </c>
      <c r="C292">
        <v>62.27</v>
      </c>
      <c r="D292" s="34">
        <v>25</v>
      </c>
      <c r="E292" s="35" t="s">
        <v>671</v>
      </c>
    </row>
    <row r="293" spans="1:5" x14ac:dyDescent="0.25">
      <c r="A293" s="33" t="s">
        <v>708</v>
      </c>
      <c r="B293" t="s">
        <v>13</v>
      </c>
      <c r="C293">
        <v>-62.27</v>
      </c>
      <c r="D293" s="34">
        <v>25</v>
      </c>
      <c r="E293" s="35" t="s">
        <v>672</v>
      </c>
    </row>
    <row r="294" spans="1:5" x14ac:dyDescent="0.25">
      <c r="A294" s="33" t="s">
        <v>708</v>
      </c>
      <c r="B294" t="s">
        <v>40</v>
      </c>
      <c r="C294">
        <v>4000</v>
      </c>
      <c r="D294" s="34">
        <v>25</v>
      </c>
      <c r="E294" s="35" t="s">
        <v>672</v>
      </c>
    </row>
    <row r="295" spans="1:5" x14ac:dyDescent="0.25">
      <c r="A295" s="33" t="s">
        <v>708</v>
      </c>
      <c r="B295" t="s">
        <v>8</v>
      </c>
      <c r="C295">
        <v>3427.53</v>
      </c>
      <c r="D295" s="34">
        <v>25</v>
      </c>
      <c r="E295" s="35" t="s">
        <v>672</v>
      </c>
    </row>
    <row r="296" spans="1:5" x14ac:dyDescent="0.25">
      <c r="A296" s="33" t="s">
        <v>708</v>
      </c>
      <c r="B296" t="s">
        <v>10</v>
      </c>
      <c r="C296">
        <v>1702.04</v>
      </c>
      <c r="D296" s="34">
        <v>25</v>
      </c>
      <c r="E296" s="35" t="s">
        <v>672</v>
      </c>
    </row>
    <row r="297" spans="1:5" x14ac:dyDescent="0.25">
      <c r="A297" s="33" t="s">
        <v>708</v>
      </c>
      <c r="B297" t="s">
        <v>11</v>
      </c>
      <c r="C297">
        <v>500</v>
      </c>
      <c r="D297" s="34">
        <v>25</v>
      </c>
      <c r="E297" s="35" t="s">
        <v>672</v>
      </c>
    </row>
    <row r="298" spans="1:5" x14ac:dyDescent="0.25">
      <c r="A298" s="33" t="s">
        <v>708</v>
      </c>
      <c r="B298" t="s">
        <v>78</v>
      </c>
      <c r="C298">
        <v>673.17</v>
      </c>
      <c r="D298" s="34">
        <v>25</v>
      </c>
      <c r="E298" s="35" t="s">
        <v>672</v>
      </c>
    </row>
    <row r="299" spans="1:5" x14ac:dyDescent="0.25">
      <c r="A299" s="33" t="s">
        <v>708</v>
      </c>
      <c r="B299" t="s">
        <v>85</v>
      </c>
      <c r="C299">
        <v>5</v>
      </c>
      <c r="D299" s="34">
        <v>25</v>
      </c>
      <c r="E299" s="35" t="s">
        <v>672</v>
      </c>
    </row>
    <row r="300" spans="1:5" x14ac:dyDescent="0.25">
      <c r="A300" s="33" t="s">
        <v>708</v>
      </c>
      <c r="B300" t="s">
        <v>87</v>
      </c>
      <c r="C300">
        <v>616.83000000000004</v>
      </c>
      <c r="D300" s="34">
        <v>25</v>
      </c>
      <c r="E300" s="35" t="s">
        <v>672</v>
      </c>
    </row>
    <row r="301" spans="1:5" x14ac:dyDescent="0.25">
      <c r="A301" s="33" t="s">
        <v>708</v>
      </c>
      <c r="B301" t="s">
        <v>85</v>
      </c>
      <c r="C301">
        <v>10</v>
      </c>
      <c r="D301" s="34">
        <v>25</v>
      </c>
      <c r="E301" s="35" t="s">
        <v>672</v>
      </c>
    </row>
    <row r="302" spans="1:5" x14ac:dyDescent="0.25">
      <c r="A302" s="33" t="s">
        <v>708</v>
      </c>
      <c r="B302" t="s">
        <v>11</v>
      </c>
      <c r="C302">
        <v>510</v>
      </c>
      <c r="D302" s="34">
        <v>25</v>
      </c>
      <c r="E302" s="35" t="s">
        <v>672</v>
      </c>
    </row>
    <row r="303" spans="1:5" x14ac:dyDescent="0.25">
      <c r="A303" s="33" t="s">
        <v>708</v>
      </c>
      <c r="B303" t="s">
        <v>11</v>
      </c>
      <c r="C303">
        <v>1000</v>
      </c>
      <c r="D303" s="34">
        <v>25</v>
      </c>
      <c r="E303" s="35" t="s">
        <v>672</v>
      </c>
    </row>
    <row r="304" spans="1:5" x14ac:dyDescent="0.25">
      <c r="A304" s="33" t="s">
        <v>708</v>
      </c>
      <c r="B304" t="s">
        <v>72</v>
      </c>
      <c r="C304">
        <v>2000</v>
      </c>
      <c r="D304" s="34">
        <v>25</v>
      </c>
      <c r="E304" s="35" t="s">
        <v>672</v>
      </c>
    </row>
    <row r="305" spans="1:5" x14ac:dyDescent="0.25">
      <c r="A305" s="33" t="s">
        <v>708</v>
      </c>
      <c r="B305" t="s">
        <v>13</v>
      </c>
      <c r="C305">
        <v>151.280000000001</v>
      </c>
      <c r="D305" s="34">
        <v>25</v>
      </c>
      <c r="E305" s="35" t="s">
        <v>672</v>
      </c>
    </row>
    <row r="306" spans="1:5" x14ac:dyDescent="0.25">
      <c r="A306" s="33" t="s">
        <v>709</v>
      </c>
      <c r="B306" t="s">
        <v>13</v>
      </c>
      <c r="C306">
        <v>-151.280000000001</v>
      </c>
      <c r="D306" s="34">
        <v>25</v>
      </c>
      <c r="E306" s="35" t="s">
        <v>673</v>
      </c>
    </row>
    <row r="307" spans="1:5" x14ac:dyDescent="0.25">
      <c r="A307" s="33" t="s">
        <v>709</v>
      </c>
      <c r="B307" t="s">
        <v>11</v>
      </c>
      <c r="C307">
        <v>1010</v>
      </c>
      <c r="D307" s="34">
        <v>25</v>
      </c>
      <c r="E307" s="35" t="s">
        <v>673</v>
      </c>
    </row>
    <row r="308" spans="1:5" x14ac:dyDescent="0.25">
      <c r="A308" s="33" t="s">
        <v>709</v>
      </c>
      <c r="B308" t="s">
        <v>52</v>
      </c>
      <c r="C308">
        <v>114</v>
      </c>
      <c r="D308" s="34">
        <v>25</v>
      </c>
      <c r="E308" s="35" t="s">
        <v>673</v>
      </c>
    </row>
    <row r="309" spans="1:5" x14ac:dyDescent="0.25">
      <c r="A309" s="33" t="s">
        <v>709</v>
      </c>
      <c r="B309" t="s">
        <v>11</v>
      </c>
      <c r="C309">
        <v>250</v>
      </c>
      <c r="D309" s="34">
        <v>25</v>
      </c>
      <c r="E309" s="35" t="s">
        <v>673</v>
      </c>
    </row>
    <row r="310" spans="1:5" x14ac:dyDescent="0.25">
      <c r="A310" s="33" t="s">
        <v>709</v>
      </c>
      <c r="B310" t="s">
        <v>17</v>
      </c>
      <c r="C310">
        <v>220</v>
      </c>
      <c r="D310" s="34">
        <v>25</v>
      </c>
      <c r="E310" s="35" t="s">
        <v>673</v>
      </c>
    </row>
    <row r="311" spans="1:5" x14ac:dyDescent="0.25">
      <c r="A311" s="33" t="s">
        <v>709</v>
      </c>
      <c r="B311" t="s">
        <v>8</v>
      </c>
      <c r="C311">
        <v>3064.28</v>
      </c>
      <c r="D311" s="34">
        <v>25</v>
      </c>
      <c r="E311" s="35" t="s">
        <v>673</v>
      </c>
    </row>
    <row r="312" spans="1:5" x14ac:dyDescent="0.25">
      <c r="A312" s="33" t="s">
        <v>709</v>
      </c>
      <c r="B312" t="s">
        <v>40</v>
      </c>
      <c r="C312">
        <v>4000</v>
      </c>
      <c r="D312" s="34">
        <v>25</v>
      </c>
      <c r="E312" s="35" t="s">
        <v>673</v>
      </c>
    </row>
    <row r="313" spans="1:5" x14ac:dyDescent="0.25">
      <c r="A313" s="33" t="s">
        <v>709</v>
      </c>
      <c r="B313" t="s">
        <v>85</v>
      </c>
      <c r="C313">
        <v>10</v>
      </c>
      <c r="D313" s="34">
        <v>25</v>
      </c>
      <c r="E313" s="35" t="s">
        <v>673</v>
      </c>
    </row>
    <row r="314" spans="1:5" x14ac:dyDescent="0.25">
      <c r="A314" s="33" t="s">
        <v>709</v>
      </c>
      <c r="B314" t="s">
        <v>14</v>
      </c>
      <c r="C314">
        <v>100</v>
      </c>
      <c r="D314" s="34">
        <v>25</v>
      </c>
      <c r="E314" s="35" t="s">
        <v>673</v>
      </c>
    </row>
    <row r="315" spans="1:5" x14ac:dyDescent="0.25">
      <c r="A315" s="33" t="s">
        <v>709</v>
      </c>
      <c r="B315" t="s">
        <v>76</v>
      </c>
      <c r="C315">
        <v>232.44</v>
      </c>
      <c r="D315" s="34">
        <v>25</v>
      </c>
      <c r="E315" s="35" t="s">
        <v>673</v>
      </c>
    </row>
    <row r="316" spans="1:5" x14ac:dyDescent="0.25">
      <c r="A316" s="33" t="s">
        <v>709</v>
      </c>
      <c r="B316" t="s">
        <v>11</v>
      </c>
      <c r="C316">
        <v>600</v>
      </c>
      <c r="D316" s="34">
        <v>25</v>
      </c>
      <c r="E316" s="35" t="s">
        <v>673</v>
      </c>
    </row>
    <row r="317" spans="1:5" x14ac:dyDescent="0.25">
      <c r="A317" s="33" t="s">
        <v>709</v>
      </c>
      <c r="B317" t="s">
        <v>507</v>
      </c>
      <c r="C317">
        <v>1000</v>
      </c>
      <c r="D317" s="34">
        <v>25</v>
      </c>
      <c r="E317" s="35" t="s">
        <v>673</v>
      </c>
    </row>
    <row r="318" spans="1:5" x14ac:dyDescent="0.25">
      <c r="A318" s="33" t="s">
        <v>709</v>
      </c>
      <c r="B318" t="s">
        <v>72</v>
      </c>
      <c r="C318">
        <v>500</v>
      </c>
      <c r="D318" s="34">
        <v>25</v>
      </c>
      <c r="E318" s="35" t="s">
        <v>673</v>
      </c>
    </row>
    <row r="319" spans="1:5" x14ac:dyDescent="0.25">
      <c r="A319" s="33" t="s">
        <v>709</v>
      </c>
      <c r="B319" t="s">
        <v>13</v>
      </c>
      <c r="C319">
        <v>98.14</v>
      </c>
      <c r="D319" s="34">
        <v>25</v>
      </c>
      <c r="E319" s="35" t="s">
        <v>673</v>
      </c>
    </row>
    <row r="320" spans="1:5" x14ac:dyDescent="0.25">
      <c r="A320" s="33" t="s">
        <v>710</v>
      </c>
      <c r="B320" t="s">
        <v>13</v>
      </c>
      <c r="C320">
        <v>-98.14</v>
      </c>
      <c r="D320" s="34">
        <v>25</v>
      </c>
      <c r="E320" s="35" t="s">
        <v>674</v>
      </c>
    </row>
    <row r="321" spans="1:5" x14ac:dyDescent="0.25">
      <c r="A321" s="33" t="s">
        <v>710</v>
      </c>
      <c r="B321" t="s">
        <v>17</v>
      </c>
      <c r="C321">
        <v>190</v>
      </c>
      <c r="D321" s="34">
        <v>25</v>
      </c>
      <c r="E321" s="35" t="s">
        <v>674</v>
      </c>
    </row>
    <row r="322" spans="1:5" x14ac:dyDescent="0.25">
      <c r="A322" s="33" t="s">
        <v>710</v>
      </c>
      <c r="B322" t="s">
        <v>17</v>
      </c>
      <c r="C322">
        <v>150</v>
      </c>
      <c r="D322" s="34">
        <v>25</v>
      </c>
      <c r="E322" s="35" t="s">
        <v>674</v>
      </c>
    </row>
    <row r="323" spans="1:5" x14ac:dyDescent="0.25">
      <c r="A323" s="33" t="s">
        <v>710</v>
      </c>
      <c r="B323" t="s">
        <v>40</v>
      </c>
      <c r="C323">
        <v>4000</v>
      </c>
      <c r="D323" s="34">
        <v>25</v>
      </c>
      <c r="E323" s="35" t="s">
        <v>674</v>
      </c>
    </row>
    <row r="324" spans="1:5" x14ac:dyDescent="0.25">
      <c r="A324" s="33" t="s">
        <v>710</v>
      </c>
      <c r="B324" t="s">
        <v>8</v>
      </c>
      <c r="C324">
        <v>2878.25</v>
      </c>
      <c r="D324" s="34">
        <v>25</v>
      </c>
      <c r="E324" s="35" t="s">
        <v>674</v>
      </c>
    </row>
    <row r="325" spans="1:5" x14ac:dyDescent="0.25">
      <c r="A325" s="33" t="s">
        <v>710</v>
      </c>
      <c r="B325" t="s">
        <v>10</v>
      </c>
      <c r="C325">
        <v>276</v>
      </c>
      <c r="D325" s="34">
        <v>25</v>
      </c>
      <c r="E325" s="35" t="s">
        <v>674</v>
      </c>
    </row>
    <row r="326" spans="1:5" x14ac:dyDescent="0.25">
      <c r="A326" s="33" t="s">
        <v>710</v>
      </c>
      <c r="B326" t="s">
        <v>55</v>
      </c>
      <c r="C326">
        <v>281.79000000000002</v>
      </c>
      <c r="D326" s="34">
        <v>25</v>
      </c>
      <c r="E326" s="35" t="s">
        <v>674</v>
      </c>
    </row>
    <row r="327" spans="1:5" x14ac:dyDescent="0.25">
      <c r="A327" s="33" t="s">
        <v>710</v>
      </c>
      <c r="B327" t="s">
        <v>78</v>
      </c>
      <c r="C327">
        <v>673.15</v>
      </c>
      <c r="D327" s="34">
        <v>25</v>
      </c>
      <c r="E327" s="35" t="s">
        <v>674</v>
      </c>
    </row>
    <row r="328" spans="1:5" x14ac:dyDescent="0.25">
      <c r="A328" s="33" t="s">
        <v>710</v>
      </c>
      <c r="B328" t="s">
        <v>85</v>
      </c>
      <c r="C328">
        <v>5</v>
      </c>
      <c r="D328" s="34">
        <v>25</v>
      </c>
      <c r="E328" s="35" t="s">
        <v>674</v>
      </c>
    </row>
    <row r="329" spans="1:5" x14ac:dyDescent="0.25">
      <c r="A329" s="33" t="s">
        <v>710</v>
      </c>
      <c r="B329" t="s">
        <v>11</v>
      </c>
      <c r="C329">
        <v>1000</v>
      </c>
      <c r="D329" s="34">
        <v>25</v>
      </c>
      <c r="E329" s="35" t="s">
        <v>674</v>
      </c>
    </row>
    <row r="330" spans="1:5" x14ac:dyDescent="0.25">
      <c r="A330" s="33" t="s">
        <v>710</v>
      </c>
      <c r="B330" t="s">
        <v>52</v>
      </c>
      <c r="C330">
        <v>278</v>
      </c>
      <c r="D330" s="34">
        <v>25</v>
      </c>
      <c r="E330" s="35" t="s">
        <v>674</v>
      </c>
    </row>
    <row r="331" spans="1:5" x14ac:dyDescent="0.25">
      <c r="A331" s="33" t="s">
        <v>710</v>
      </c>
      <c r="B331" t="s">
        <v>88</v>
      </c>
      <c r="C331">
        <v>500</v>
      </c>
      <c r="D331" s="34">
        <v>25</v>
      </c>
      <c r="E331" s="35" t="s">
        <v>674</v>
      </c>
    </row>
    <row r="332" spans="1:5" x14ac:dyDescent="0.25">
      <c r="A332" s="33" t="s">
        <v>710</v>
      </c>
      <c r="B332" t="s">
        <v>11</v>
      </c>
      <c r="C332">
        <v>1000</v>
      </c>
      <c r="D332" s="34">
        <v>25</v>
      </c>
      <c r="E332" s="35" t="s">
        <v>674</v>
      </c>
    </row>
    <row r="333" spans="1:5" x14ac:dyDescent="0.25">
      <c r="A333" s="33" t="s">
        <v>710</v>
      </c>
      <c r="B333" t="s">
        <v>11</v>
      </c>
      <c r="C333">
        <v>500</v>
      </c>
      <c r="D333" s="34">
        <v>25</v>
      </c>
      <c r="E333" s="35" t="s">
        <v>674</v>
      </c>
    </row>
    <row r="334" spans="1:5" x14ac:dyDescent="0.25">
      <c r="A334" s="33" t="s">
        <v>710</v>
      </c>
      <c r="B334" t="s">
        <v>83</v>
      </c>
      <c r="C334">
        <v>500</v>
      </c>
      <c r="D334" s="34">
        <v>25</v>
      </c>
      <c r="E334" s="35" t="s">
        <v>674</v>
      </c>
    </row>
    <row r="335" spans="1:5" x14ac:dyDescent="0.25">
      <c r="A335" s="33" t="s">
        <v>710</v>
      </c>
      <c r="B335" t="s">
        <v>57</v>
      </c>
      <c r="C335">
        <v>500</v>
      </c>
      <c r="D335" s="34">
        <v>25</v>
      </c>
      <c r="E335" s="35" t="s">
        <v>674</v>
      </c>
    </row>
    <row r="336" spans="1:5" x14ac:dyDescent="0.25">
      <c r="A336" s="33" t="s">
        <v>710</v>
      </c>
      <c r="B336" t="s">
        <v>11</v>
      </c>
      <c r="C336">
        <v>500</v>
      </c>
      <c r="D336" s="34">
        <v>25</v>
      </c>
      <c r="E336" s="35" t="s">
        <v>674</v>
      </c>
    </row>
    <row r="337" spans="1:5" x14ac:dyDescent="0.25">
      <c r="A337" s="33" t="s">
        <v>710</v>
      </c>
      <c r="B337" t="s">
        <v>72</v>
      </c>
      <c r="C337">
        <v>1000</v>
      </c>
      <c r="D337" s="34">
        <v>25</v>
      </c>
      <c r="E337" s="35" t="s">
        <v>674</v>
      </c>
    </row>
    <row r="338" spans="1:5" x14ac:dyDescent="0.25">
      <c r="A338" s="33" t="s">
        <v>710</v>
      </c>
      <c r="B338" t="s">
        <v>13</v>
      </c>
      <c r="C338">
        <v>244.13000000000099</v>
      </c>
      <c r="D338" s="34">
        <v>25</v>
      </c>
      <c r="E338" s="35" t="s">
        <v>674</v>
      </c>
    </row>
    <row r="339" spans="1:5" x14ac:dyDescent="0.25">
      <c r="A339" s="33" t="s">
        <v>711</v>
      </c>
      <c r="B339" t="s">
        <v>518</v>
      </c>
      <c r="C339">
        <v>-244.13000000000099</v>
      </c>
      <c r="D339" s="34">
        <v>26</v>
      </c>
      <c r="E339" s="35" t="s">
        <v>675</v>
      </c>
    </row>
    <row r="340" spans="1:5" x14ac:dyDescent="0.25">
      <c r="A340" s="33" t="s">
        <v>711</v>
      </c>
      <c r="B340" t="s">
        <v>40</v>
      </c>
      <c r="C340">
        <v>4000</v>
      </c>
      <c r="D340" s="34">
        <v>26</v>
      </c>
      <c r="E340" s="35" t="s">
        <v>675</v>
      </c>
    </row>
    <row r="341" spans="1:5" x14ac:dyDescent="0.25">
      <c r="A341" s="33" t="s">
        <v>711</v>
      </c>
      <c r="B341" t="s">
        <v>8</v>
      </c>
      <c r="C341">
        <v>4000</v>
      </c>
      <c r="D341" s="34">
        <v>26</v>
      </c>
      <c r="E341" s="35" t="s">
        <v>675</v>
      </c>
    </row>
    <row r="342" spans="1:5" x14ac:dyDescent="0.25">
      <c r="A342" s="33" t="s">
        <v>711</v>
      </c>
      <c r="B342" t="s">
        <v>521</v>
      </c>
      <c r="C342">
        <v>10</v>
      </c>
      <c r="D342" s="34">
        <v>26</v>
      </c>
      <c r="E342" s="35" t="s">
        <v>675</v>
      </c>
    </row>
    <row r="343" spans="1:5" x14ac:dyDescent="0.25">
      <c r="A343" s="33" t="s">
        <v>711</v>
      </c>
      <c r="B343" t="s">
        <v>41</v>
      </c>
      <c r="C343">
        <v>-2.69</v>
      </c>
      <c r="D343" s="34">
        <v>26</v>
      </c>
      <c r="E343" s="35" t="s">
        <v>675</v>
      </c>
    </row>
    <row r="344" spans="1:5" x14ac:dyDescent="0.25">
      <c r="A344" s="33" t="s">
        <v>711</v>
      </c>
      <c r="B344" t="s">
        <v>79</v>
      </c>
      <c r="C344">
        <v>0.54</v>
      </c>
      <c r="D344" s="34">
        <v>26</v>
      </c>
      <c r="E344" s="35" t="s">
        <v>675</v>
      </c>
    </row>
    <row r="345" spans="1:5" x14ac:dyDescent="0.25">
      <c r="A345" s="33" t="s">
        <v>711</v>
      </c>
      <c r="B345" t="s">
        <v>88</v>
      </c>
      <c r="C345">
        <v>460</v>
      </c>
      <c r="D345" s="34">
        <v>26</v>
      </c>
      <c r="E345" s="35" t="s">
        <v>675</v>
      </c>
    </row>
    <row r="346" spans="1:5" x14ac:dyDescent="0.25">
      <c r="A346" s="33" t="s">
        <v>711</v>
      </c>
      <c r="B346" t="s">
        <v>78</v>
      </c>
      <c r="C346">
        <v>800</v>
      </c>
      <c r="D346" s="34">
        <v>26</v>
      </c>
      <c r="E346" s="35" t="s">
        <v>675</v>
      </c>
    </row>
    <row r="347" spans="1:5" x14ac:dyDescent="0.25">
      <c r="A347" s="33" t="s">
        <v>711</v>
      </c>
      <c r="B347" t="s">
        <v>11</v>
      </c>
      <c r="C347">
        <v>2010</v>
      </c>
      <c r="D347" s="34">
        <v>26</v>
      </c>
      <c r="E347" s="35" t="s">
        <v>675</v>
      </c>
    </row>
    <row r="348" spans="1:5" x14ac:dyDescent="0.25">
      <c r="A348" s="33" t="s">
        <v>711</v>
      </c>
      <c r="B348" t="s">
        <v>50</v>
      </c>
      <c r="C348">
        <v>809</v>
      </c>
      <c r="D348" s="34">
        <v>26</v>
      </c>
      <c r="E348" s="35" t="s">
        <v>675</v>
      </c>
    </row>
    <row r="349" spans="1:5" x14ac:dyDescent="0.25">
      <c r="A349" s="33" t="s">
        <v>711</v>
      </c>
      <c r="B349" t="s">
        <v>48</v>
      </c>
      <c r="C349">
        <v>345</v>
      </c>
      <c r="D349" s="34">
        <v>26</v>
      </c>
      <c r="E349" s="35" t="s">
        <v>675</v>
      </c>
    </row>
    <row r="350" spans="1:5" x14ac:dyDescent="0.25">
      <c r="A350" s="33" t="s">
        <v>711</v>
      </c>
      <c r="B350" t="s">
        <v>50</v>
      </c>
      <c r="C350">
        <v>100</v>
      </c>
      <c r="D350" s="34">
        <v>26</v>
      </c>
      <c r="E350" s="35" t="s">
        <v>675</v>
      </c>
    </row>
    <row r="351" spans="1:5" x14ac:dyDescent="0.25">
      <c r="A351" s="33" t="s">
        <v>711</v>
      </c>
      <c r="B351" t="s">
        <v>72</v>
      </c>
      <c r="C351">
        <v>1500</v>
      </c>
      <c r="D351" s="34">
        <v>26</v>
      </c>
      <c r="E351" s="35" t="s">
        <v>675</v>
      </c>
    </row>
    <row r="352" spans="1:5" x14ac:dyDescent="0.25">
      <c r="A352" s="33" t="s">
        <v>711</v>
      </c>
      <c r="B352" t="s">
        <v>518</v>
      </c>
      <c r="C352">
        <v>323.74</v>
      </c>
      <c r="D352" s="34">
        <v>26</v>
      </c>
      <c r="E352" s="35" t="s">
        <v>675</v>
      </c>
    </row>
    <row r="353" spans="1:5" x14ac:dyDescent="0.25">
      <c r="A353" s="33" t="s">
        <v>712</v>
      </c>
      <c r="B353" t="s">
        <v>518</v>
      </c>
      <c r="C353">
        <v>-323.74</v>
      </c>
      <c r="D353" s="34">
        <v>26</v>
      </c>
      <c r="E353" s="35" t="s">
        <v>677</v>
      </c>
    </row>
    <row r="354" spans="1:5" x14ac:dyDescent="0.25">
      <c r="A354" s="33" t="s">
        <v>712</v>
      </c>
      <c r="B354" t="s">
        <v>76</v>
      </c>
      <c r="C354">
        <v>232.44</v>
      </c>
      <c r="D354" s="34">
        <v>26</v>
      </c>
      <c r="E354" s="35" t="s">
        <v>677</v>
      </c>
    </row>
    <row r="355" spans="1:5" x14ac:dyDescent="0.25">
      <c r="A355" s="33" t="s">
        <v>712</v>
      </c>
      <c r="B355" t="s">
        <v>518</v>
      </c>
      <c r="C355">
        <v>-408.26</v>
      </c>
      <c r="D355" s="34">
        <v>26</v>
      </c>
      <c r="E355" s="35" t="s">
        <v>677</v>
      </c>
    </row>
    <row r="356" spans="1:5" x14ac:dyDescent="0.25">
      <c r="A356" s="33" t="s">
        <v>712</v>
      </c>
      <c r="B356" t="s">
        <v>40</v>
      </c>
      <c r="C356">
        <v>4000</v>
      </c>
      <c r="D356" s="34">
        <v>26</v>
      </c>
      <c r="E356" s="35" t="s">
        <v>677</v>
      </c>
    </row>
    <row r="357" spans="1:5" x14ac:dyDescent="0.25">
      <c r="A357" s="33" t="s">
        <v>712</v>
      </c>
      <c r="B357" t="s">
        <v>8</v>
      </c>
      <c r="C357">
        <v>8565.0499999999993</v>
      </c>
      <c r="D357" s="34">
        <v>26</v>
      </c>
      <c r="E357" s="35" t="s">
        <v>677</v>
      </c>
    </row>
    <row r="358" spans="1:5" x14ac:dyDescent="0.25">
      <c r="A358" s="33" t="s">
        <v>712</v>
      </c>
      <c r="B358" t="s">
        <v>10</v>
      </c>
      <c r="C358">
        <v>755.79</v>
      </c>
      <c r="D358" s="34">
        <v>26</v>
      </c>
      <c r="E358" s="35" t="s">
        <v>677</v>
      </c>
    </row>
    <row r="359" spans="1:5" x14ac:dyDescent="0.25">
      <c r="A359" s="33" t="s">
        <v>712</v>
      </c>
      <c r="B359" t="s">
        <v>85</v>
      </c>
      <c r="C359">
        <v>10</v>
      </c>
      <c r="D359" s="34">
        <v>26</v>
      </c>
      <c r="E359" s="35" t="s">
        <v>677</v>
      </c>
    </row>
    <row r="360" spans="1:5" x14ac:dyDescent="0.25">
      <c r="A360" s="33" t="s">
        <v>712</v>
      </c>
      <c r="B360" t="s">
        <v>57</v>
      </c>
      <c r="C360">
        <v>2500</v>
      </c>
      <c r="D360" s="34">
        <v>26</v>
      </c>
      <c r="E360" s="35" t="s">
        <v>677</v>
      </c>
    </row>
    <row r="361" spans="1:5" x14ac:dyDescent="0.25">
      <c r="A361" s="33" t="s">
        <v>712</v>
      </c>
      <c r="B361" t="s">
        <v>44</v>
      </c>
      <c r="C361">
        <v>138</v>
      </c>
      <c r="D361" s="34">
        <v>26</v>
      </c>
      <c r="E361" s="35" t="s">
        <v>677</v>
      </c>
    </row>
    <row r="362" spans="1:5" x14ac:dyDescent="0.25">
      <c r="A362" s="33" t="s">
        <v>712</v>
      </c>
      <c r="B362" t="s">
        <v>3</v>
      </c>
      <c r="C362">
        <v>158</v>
      </c>
      <c r="D362" s="34">
        <v>26</v>
      </c>
      <c r="E362" s="35" t="s">
        <v>677</v>
      </c>
    </row>
    <row r="363" spans="1:5" x14ac:dyDescent="0.25">
      <c r="A363" s="33" t="s">
        <v>712</v>
      </c>
      <c r="B363" t="s">
        <v>3</v>
      </c>
      <c r="C363">
        <v>190</v>
      </c>
      <c r="D363" s="34">
        <v>26</v>
      </c>
      <c r="E363" s="35" t="s">
        <v>677</v>
      </c>
    </row>
    <row r="364" spans="1:5" x14ac:dyDescent="0.25">
      <c r="A364" s="33" t="s">
        <v>712</v>
      </c>
      <c r="B364" t="s">
        <v>87</v>
      </c>
      <c r="C364">
        <v>1010</v>
      </c>
      <c r="D364" s="34">
        <v>26</v>
      </c>
      <c r="E364" s="35" t="s">
        <v>677</v>
      </c>
    </row>
    <row r="365" spans="1:5" x14ac:dyDescent="0.25">
      <c r="A365" s="33" t="s">
        <v>712</v>
      </c>
      <c r="B365" t="s">
        <v>59</v>
      </c>
      <c r="C365">
        <v>-1000</v>
      </c>
      <c r="D365" s="34">
        <v>26</v>
      </c>
      <c r="E365" s="35" t="s">
        <v>677</v>
      </c>
    </row>
    <row r="366" spans="1:5" x14ac:dyDescent="0.25">
      <c r="A366" s="33" t="s">
        <v>712</v>
      </c>
      <c r="B366" t="s">
        <v>52</v>
      </c>
      <c r="C366">
        <v>510</v>
      </c>
      <c r="D366" s="34">
        <v>26</v>
      </c>
      <c r="E366" s="35" t="s">
        <v>677</v>
      </c>
    </row>
    <row r="367" spans="1:5" x14ac:dyDescent="0.25">
      <c r="A367" s="33" t="s">
        <v>712</v>
      </c>
      <c r="B367" t="s">
        <v>36</v>
      </c>
      <c r="C367">
        <v>210</v>
      </c>
      <c r="D367" s="34">
        <v>26</v>
      </c>
      <c r="E367" s="35" t="s">
        <v>677</v>
      </c>
    </row>
    <row r="368" spans="1:5" x14ac:dyDescent="0.25">
      <c r="A368" s="33" t="s">
        <v>712</v>
      </c>
      <c r="B368" t="s">
        <v>36</v>
      </c>
      <c r="C368">
        <v>210</v>
      </c>
      <c r="D368" s="34">
        <v>26</v>
      </c>
      <c r="E368" s="35" t="s">
        <v>677</v>
      </c>
    </row>
    <row r="369" spans="1:5" x14ac:dyDescent="0.25">
      <c r="A369" s="33" t="s">
        <v>712</v>
      </c>
      <c r="B369" t="s">
        <v>11</v>
      </c>
      <c r="C369">
        <v>2610</v>
      </c>
      <c r="D369" s="34">
        <v>26</v>
      </c>
      <c r="E369" s="35" t="s">
        <v>677</v>
      </c>
    </row>
    <row r="370" spans="1:5" x14ac:dyDescent="0.25">
      <c r="A370" s="33" t="s">
        <v>712</v>
      </c>
      <c r="B370" t="s">
        <v>57</v>
      </c>
      <c r="C370">
        <v>1000</v>
      </c>
      <c r="D370" s="34">
        <v>26</v>
      </c>
      <c r="E370" s="35" t="s">
        <v>677</v>
      </c>
    </row>
    <row r="371" spans="1:5" x14ac:dyDescent="0.25">
      <c r="A371" s="33" t="s">
        <v>712</v>
      </c>
      <c r="B371" t="s">
        <v>50</v>
      </c>
      <c r="C371">
        <v>110</v>
      </c>
      <c r="D371" s="34">
        <v>26</v>
      </c>
      <c r="E371" s="35" t="s">
        <v>677</v>
      </c>
    </row>
    <row r="372" spans="1:5" x14ac:dyDescent="0.25">
      <c r="A372" s="33" t="s">
        <v>712</v>
      </c>
      <c r="B372" t="s">
        <v>11</v>
      </c>
      <c r="C372">
        <v>550</v>
      </c>
      <c r="D372" s="34">
        <v>26</v>
      </c>
      <c r="E372" s="35" t="s">
        <v>677</v>
      </c>
    </row>
    <row r="373" spans="1:5" x14ac:dyDescent="0.25">
      <c r="A373" s="33" t="s">
        <v>712</v>
      </c>
      <c r="B373" t="s">
        <v>88</v>
      </c>
      <c r="C373">
        <v>450</v>
      </c>
      <c r="D373" s="34">
        <v>26</v>
      </c>
      <c r="E373" s="35" t="s">
        <v>677</v>
      </c>
    </row>
    <row r="374" spans="1:5" x14ac:dyDescent="0.25">
      <c r="A374" s="33" t="s">
        <v>712</v>
      </c>
      <c r="B374" t="s">
        <v>50</v>
      </c>
      <c r="C374">
        <v>510</v>
      </c>
      <c r="D374" s="34">
        <v>26</v>
      </c>
      <c r="E374" s="35" t="s">
        <v>677</v>
      </c>
    </row>
    <row r="375" spans="1:5" x14ac:dyDescent="0.25">
      <c r="A375" s="33" t="s">
        <v>712</v>
      </c>
      <c r="B375" t="s">
        <v>87</v>
      </c>
      <c r="C375">
        <v>1010</v>
      </c>
      <c r="D375" s="34">
        <v>26</v>
      </c>
      <c r="E375" s="35" t="s">
        <v>677</v>
      </c>
    </row>
    <row r="376" spans="1:5" x14ac:dyDescent="0.25">
      <c r="A376" s="33" t="s">
        <v>712</v>
      </c>
      <c r="B376" t="s">
        <v>57</v>
      </c>
      <c r="C376">
        <v>1000</v>
      </c>
      <c r="D376" s="34">
        <v>26</v>
      </c>
      <c r="E376" s="35" t="s">
        <v>677</v>
      </c>
    </row>
    <row r="377" spans="1:5" x14ac:dyDescent="0.25">
      <c r="A377" s="33" t="s">
        <v>712</v>
      </c>
      <c r="B377" t="s">
        <v>72</v>
      </c>
      <c r="C377">
        <v>6000</v>
      </c>
      <c r="D377" s="34">
        <v>26</v>
      </c>
      <c r="E377" s="35" t="s">
        <v>677</v>
      </c>
    </row>
    <row r="378" spans="1:5" x14ac:dyDescent="0.25">
      <c r="A378" s="33" t="s">
        <v>712</v>
      </c>
      <c r="B378" t="s">
        <v>518</v>
      </c>
      <c r="C378">
        <v>416.13999999999902</v>
      </c>
      <c r="D378" s="34">
        <v>26</v>
      </c>
      <c r="E378" s="35" t="s">
        <v>677</v>
      </c>
    </row>
    <row r="379" spans="1:5" x14ac:dyDescent="0.25">
      <c r="A379" s="33" t="s">
        <v>712</v>
      </c>
      <c r="B379" t="s">
        <v>59</v>
      </c>
      <c r="C379">
        <v>-1400</v>
      </c>
      <c r="D379" s="34">
        <v>26</v>
      </c>
      <c r="E379" s="35" t="s">
        <v>677</v>
      </c>
    </row>
    <row r="380" spans="1:5" x14ac:dyDescent="0.25">
      <c r="A380" s="33" t="s">
        <v>712</v>
      </c>
      <c r="B380" t="s">
        <v>72</v>
      </c>
      <c r="C380">
        <v>1400</v>
      </c>
      <c r="D380" s="34">
        <v>26</v>
      </c>
      <c r="E380" s="35" t="s">
        <v>677</v>
      </c>
    </row>
    <row r="381" spans="1:5" x14ac:dyDescent="0.25">
      <c r="A381" s="33" t="s">
        <v>713</v>
      </c>
      <c r="B381" t="s">
        <v>518</v>
      </c>
      <c r="C381">
        <v>-416.13999999999902</v>
      </c>
      <c r="D381" s="34">
        <v>26</v>
      </c>
      <c r="E381" s="35" t="s">
        <v>678</v>
      </c>
    </row>
    <row r="382" spans="1:5" x14ac:dyDescent="0.25">
      <c r="A382" s="33" t="s">
        <v>713</v>
      </c>
      <c r="B382" t="s">
        <v>40</v>
      </c>
      <c r="C382">
        <v>4000</v>
      </c>
      <c r="D382" s="34">
        <v>26</v>
      </c>
      <c r="E382" s="35" t="s">
        <v>678</v>
      </c>
    </row>
    <row r="383" spans="1:5" x14ac:dyDescent="0.25">
      <c r="A383" s="33" t="s">
        <v>713</v>
      </c>
      <c r="B383" t="s">
        <v>10</v>
      </c>
      <c r="C383">
        <v>2387.4499999999998</v>
      </c>
      <c r="D383" s="34">
        <v>26</v>
      </c>
      <c r="E383" s="35" t="s">
        <v>678</v>
      </c>
    </row>
    <row r="384" spans="1:5" x14ac:dyDescent="0.25">
      <c r="A384" s="33" t="s">
        <v>713</v>
      </c>
      <c r="B384" t="s">
        <v>8</v>
      </c>
      <c r="C384">
        <v>150</v>
      </c>
      <c r="D384" s="34">
        <v>26</v>
      </c>
      <c r="E384" s="35" t="s">
        <v>678</v>
      </c>
    </row>
    <row r="385" spans="1:5" x14ac:dyDescent="0.25">
      <c r="A385" s="33" t="s">
        <v>713</v>
      </c>
      <c r="B385" t="s">
        <v>11</v>
      </c>
      <c r="C385">
        <v>1000</v>
      </c>
      <c r="D385" s="34">
        <v>26</v>
      </c>
      <c r="E385" s="35" t="s">
        <v>678</v>
      </c>
    </row>
    <row r="386" spans="1:5" x14ac:dyDescent="0.25">
      <c r="A386" s="33" t="s">
        <v>713</v>
      </c>
      <c r="B386" t="s">
        <v>50</v>
      </c>
      <c r="C386">
        <v>110</v>
      </c>
      <c r="D386" s="34">
        <v>26</v>
      </c>
      <c r="E386" s="35" t="s">
        <v>678</v>
      </c>
    </row>
    <row r="387" spans="1:5" x14ac:dyDescent="0.25">
      <c r="A387" s="33" t="s">
        <v>713</v>
      </c>
      <c r="B387" t="s">
        <v>85</v>
      </c>
      <c r="C387">
        <v>10</v>
      </c>
      <c r="D387" s="34">
        <v>26</v>
      </c>
      <c r="E387" s="35" t="s">
        <v>678</v>
      </c>
    </row>
    <row r="388" spans="1:5" x14ac:dyDescent="0.25">
      <c r="A388" s="33" t="s">
        <v>713</v>
      </c>
      <c r="B388" t="s">
        <v>17</v>
      </c>
      <c r="C388">
        <v>250</v>
      </c>
      <c r="D388" s="34">
        <v>26</v>
      </c>
      <c r="E388" s="35" t="s">
        <v>678</v>
      </c>
    </row>
    <row r="389" spans="1:5" x14ac:dyDescent="0.25">
      <c r="A389" s="33" t="s">
        <v>713</v>
      </c>
      <c r="B389" t="s">
        <v>50</v>
      </c>
      <c r="C389">
        <v>110</v>
      </c>
      <c r="D389" s="34">
        <v>26</v>
      </c>
      <c r="E389" s="35" t="s">
        <v>678</v>
      </c>
    </row>
    <row r="390" spans="1:5" x14ac:dyDescent="0.25">
      <c r="A390" s="33" t="s">
        <v>713</v>
      </c>
      <c r="B390" t="s">
        <v>11</v>
      </c>
      <c r="C390">
        <v>1180</v>
      </c>
      <c r="D390" s="34">
        <v>26</v>
      </c>
      <c r="E390" s="35" t="s">
        <v>678</v>
      </c>
    </row>
    <row r="391" spans="1:5" x14ac:dyDescent="0.25">
      <c r="A391" s="33" t="s">
        <v>713</v>
      </c>
      <c r="B391" t="s">
        <v>76</v>
      </c>
      <c r="C391">
        <v>232.44</v>
      </c>
      <c r="D391" s="34">
        <v>26</v>
      </c>
      <c r="E391" s="35" t="s">
        <v>678</v>
      </c>
    </row>
    <row r="392" spans="1:5" x14ac:dyDescent="0.25">
      <c r="A392" s="33" t="s">
        <v>713</v>
      </c>
      <c r="B392" t="s">
        <v>72</v>
      </c>
      <c r="C392">
        <v>2000</v>
      </c>
      <c r="D392" s="34">
        <v>26</v>
      </c>
      <c r="E392" s="35" t="s">
        <v>678</v>
      </c>
    </row>
    <row r="393" spans="1:5" x14ac:dyDescent="0.25">
      <c r="A393" s="33" t="s">
        <v>713</v>
      </c>
      <c r="B393" t="s">
        <v>13</v>
      </c>
      <c r="C393">
        <v>230.66</v>
      </c>
      <c r="D393" s="34">
        <v>26</v>
      </c>
      <c r="E393" s="35" t="s">
        <v>678</v>
      </c>
    </row>
    <row r="394" spans="1:5" x14ac:dyDescent="0.25">
      <c r="A394" s="33" t="s">
        <v>714</v>
      </c>
      <c r="B394" t="s">
        <v>13</v>
      </c>
      <c r="C394">
        <v>-230.66</v>
      </c>
      <c r="D394" s="34">
        <v>26</v>
      </c>
      <c r="E394" s="35" t="s">
        <v>679</v>
      </c>
    </row>
    <row r="395" spans="1:5" x14ac:dyDescent="0.25">
      <c r="A395" s="33" t="s">
        <v>714</v>
      </c>
      <c r="B395" t="s">
        <v>8</v>
      </c>
      <c r="C395">
        <v>3750.54</v>
      </c>
      <c r="D395" s="34">
        <v>26</v>
      </c>
      <c r="E395" s="35" t="s">
        <v>679</v>
      </c>
    </row>
    <row r="396" spans="1:5" x14ac:dyDescent="0.25">
      <c r="A396" s="33" t="s">
        <v>714</v>
      </c>
      <c r="B396" t="s">
        <v>55</v>
      </c>
      <c r="C396">
        <v>281.79000000000002</v>
      </c>
      <c r="D396" s="34">
        <v>26</v>
      </c>
      <c r="E396" s="35" t="s">
        <v>679</v>
      </c>
    </row>
    <row r="397" spans="1:5" x14ac:dyDescent="0.25">
      <c r="A397" s="33" t="s">
        <v>714</v>
      </c>
      <c r="B397" t="s">
        <v>40</v>
      </c>
      <c r="C397">
        <v>4000</v>
      </c>
      <c r="D397" s="34">
        <v>26</v>
      </c>
      <c r="E397" s="35" t="s">
        <v>679</v>
      </c>
    </row>
    <row r="398" spans="1:5" x14ac:dyDescent="0.25">
      <c r="A398" s="33" t="s">
        <v>714</v>
      </c>
      <c r="B398" t="s">
        <v>11</v>
      </c>
      <c r="C398">
        <v>1460</v>
      </c>
      <c r="D398" s="34">
        <v>26</v>
      </c>
      <c r="E398" s="35" t="s">
        <v>679</v>
      </c>
    </row>
    <row r="399" spans="1:5" x14ac:dyDescent="0.25">
      <c r="A399" s="33" t="s">
        <v>714</v>
      </c>
      <c r="B399" t="s">
        <v>44</v>
      </c>
      <c r="C399">
        <v>351</v>
      </c>
      <c r="D399" s="34">
        <v>26</v>
      </c>
      <c r="E399" s="35" t="s">
        <v>679</v>
      </c>
    </row>
    <row r="400" spans="1:5" x14ac:dyDescent="0.25">
      <c r="A400" s="33" t="s">
        <v>714</v>
      </c>
      <c r="B400" t="s">
        <v>15</v>
      </c>
      <c r="C400">
        <v>800</v>
      </c>
      <c r="D400" s="34">
        <v>26</v>
      </c>
      <c r="E400" s="35" t="s">
        <v>679</v>
      </c>
    </row>
    <row r="401" spans="1:5" x14ac:dyDescent="0.25">
      <c r="A401" s="33" t="s">
        <v>714</v>
      </c>
      <c r="B401" t="s">
        <v>85</v>
      </c>
      <c r="C401">
        <v>20</v>
      </c>
      <c r="D401" s="34">
        <v>26</v>
      </c>
      <c r="E401" s="35" t="s">
        <v>679</v>
      </c>
    </row>
    <row r="402" spans="1:5" x14ac:dyDescent="0.25">
      <c r="A402" s="33" t="s">
        <v>714</v>
      </c>
      <c r="B402" t="s">
        <v>3</v>
      </c>
      <c r="C402">
        <v>200</v>
      </c>
      <c r="D402" s="34">
        <v>26</v>
      </c>
      <c r="E402" s="35" t="s">
        <v>679</v>
      </c>
    </row>
    <row r="403" spans="1:5" x14ac:dyDescent="0.25">
      <c r="A403" s="33" t="s">
        <v>714</v>
      </c>
      <c r="B403" t="s">
        <v>59</v>
      </c>
      <c r="C403">
        <v>-100</v>
      </c>
      <c r="D403" s="34">
        <v>26</v>
      </c>
      <c r="E403" s="35" t="s">
        <v>679</v>
      </c>
    </row>
    <row r="404" spans="1:5" x14ac:dyDescent="0.25">
      <c r="A404" s="33" t="s">
        <v>714</v>
      </c>
      <c r="B404" t="s">
        <v>11</v>
      </c>
      <c r="C404">
        <v>1018</v>
      </c>
      <c r="D404" s="34">
        <v>26</v>
      </c>
      <c r="E404" s="35" t="s">
        <v>679</v>
      </c>
    </row>
    <row r="405" spans="1:5" x14ac:dyDescent="0.25">
      <c r="A405" s="33" t="s">
        <v>714</v>
      </c>
      <c r="B405" t="s">
        <v>87</v>
      </c>
      <c r="C405">
        <v>1010</v>
      </c>
      <c r="D405" s="34">
        <v>26</v>
      </c>
      <c r="E405" s="35" t="s">
        <v>679</v>
      </c>
    </row>
    <row r="406" spans="1:5" x14ac:dyDescent="0.25">
      <c r="A406" s="33" t="s">
        <v>714</v>
      </c>
      <c r="B406" t="s">
        <v>11</v>
      </c>
      <c r="C406">
        <v>42</v>
      </c>
      <c r="D406" s="34">
        <v>26</v>
      </c>
      <c r="E406" s="35" t="s">
        <v>679</v>
      </c>
    </row>
    <row r="407" spans="1:5" x14ac:dyDescent="0.25">
      <c r="A407" s="33" t="s">
        <v>714</v>
      </c>
      <c r="B407" t="s">
        <v>11</v>
      </c>
      <c r="C407">
        <v>1018</v>
      </c>
      <c r="D407" s="34">
        <v>26</v>
      </c>
      <c r="E407" s="35" t="s">
        <v>679</v>
      </c>
    </row>
    <row r="408" spans="1:5" x14ac:dyDescent="0.25">
      <c r="A408" s="33" t="s">
        <v>714</v>
      </c>
      <c r="B408" t="s">
        <v>59</v>
      </c>
      <c r="C408">
        <v>-1000</v>
      </c>
      <c r="D408" s="34">
        <v>26</v>
      </c>
      <c r="E408" s="35" t="s">
        <v>679</v>
      </c>
    </row>
    <row r="409" spans="1:5" x14ac:dyDescent="0.25">
      <c r="A409" s="33" t="s">
        <v>714</v>
      </c>
      <c r="B409" t="s">
        <v>72</v>
      </c>
      <c r="C409">
        <v>1000</v>
      </c>
      <c r="D409" s="34">
        <v>26</v>
      </c>
      <c r="E409" s="35" t="s">
        <v>679</v>
      </c>
    </row>
    <row r="410" spans="1:5" x14ac:dyDescent="0.25">
      <c r="A410" s="33" t="s">
        <v>714</v>
      </c>
      <c r="B410" t="s">
        <v>13</v>
      </c>
      <c r="C410">
        <v>166.99</v>
      </c>
      <c r="D410" s="34">
        <v>26</v>
      </c>
      <c r="E410" s="35" t="s">
        <v>679</v>
      </c>
    </row>
    <row r="411" spans="1:5" x14ac:dyDescent="0.25">
      <c r="A411" s="33" t="s">
        <v>715</v>
      </c>
      <c r="B411" t="s">
        <v>13</v>
      </c>
      <c r="C411">
        <v>-166.99</v>
      </c>
      <c r="D411" s="34">
        <v>26</v>
      </c>
      <c r="E411" s="35" t="s">
        <v>680</v>
      </c>
    </row>
    <row r="412" spans="1:5" x14ac:dyDescent="0.25">
      <c r="A412" s="33" t="s">
        <v>715</v>
      </c>
      <c r="B412" t="s">
        <v>40</v>
      </c>
      <c r="C412">
        <v>4000</v>
      </c>
      <c r="D412" s="34">
        <v>26</v>
      </c>
      <c r="E412" s="35" t="s">
        <v>680</v>
      </c>
    </row>
    <row r="413" spans="1:5" x14ac:dyDescent="0.25">
      <c r="A413" s="33" t="s">
        <v>715</v>
      </c>
      <c r="B413" t="s">
        <v>11</v>
      </c>
      <c r="C413">
        <v>1000</v>
      </c>
      <c r="D413" s="34">
        <v>26</v>
      </c>
      <c r="E413" s="35" t="s">
        <v>680</v>
      </c>
    </row>
    <row r="414" spans="1:5" x14ac:dyDescent="0.25">
      <c r="A414" s="33" t="s">
        <v>715</v>
      </c>
      <c r="B414" t="s">
        <v>11</v>
      </c>
      <c r="C414">
        <v>89</v>
      </c>
      <c r="D414" s="34">
        <v>26</v>
      </c>
      <c r="E414" s="35" t="s">
        <v>680</v>
      </c>
    </row>
    <row r="415" spans="1:5" x14ac:dyDescent="0.25">
      <c r="A415" s="33" t="s">
        <v>715</v>
      </c>
      <c r="B415" t="s">
        <v>8</v>
      </c>
      <c r="C415">
        <v>1330</v>
      </c>
      <c r="D415" s="34">
        <v>26</v>
      </c>
      <c r="E415" s="35" t="s">
        <v>680</v>
      </c>
    </row>
    <row r="416" spans="1:5" x14ac:dyDescent="0.25">
      <c r="A416" s="33" t="s">
        <v>715</v>
      </c>
      <c r="B416" t="s">
        <v>48</v>
      </c>
      <c r="C416">
        <v>2474.73</v>
      </c>
      <c r="D416" s="34">
        <v>26</v>
      </c>
      <c r="E416" s="35" t="s">
        <v>680</v>
      </c>
    </row>
    <row r="417" spans="1:5" x14ac:dyDescent="0.25">
      <c r="A417" s="33" t="s">
        <v>715</v>
      </c>
      <c r="B417" t="s">
        <v>85</v>
      </c>
      <c r="C417">
        <v>10</v>
      </c>
      <c r="D417" s="34">
        <v>26</v>
      </c>
      <c r="E417" s="35" t="s">
        <v>680</v>
      </c>
    </row>
    <row r="418" spans="1:5" x14ac:dyDescent="0.25">
      <c r="A418" s="33" t="s">
        <v>715</v>
      </c>
      <c r="B418" t="s">
        <v>3</v>
      </c>
      <c r="C418">
        <v>440</v>
      </c>
      <c r="D418" s="34">
        <v>26</v>
      </c>
      <c r="E418" s="35" t="s">
        <v>680</v>
      </c>
    </row>
    <row r="419" spans="1:5" x14ac:dyDescent="0.25">
      <c r="A419" s="33" t="s">
        <v>715</v>
      </c>
      <c r="B419" t="s">
        <v>52</v>
      </c>
      <c r="C419">
        <v>148</v>
      </c>
      <c r="D419" s="34">
        <v>26</v>
      </c>
      <c r="E419" s="35" t="s">
        <v>680</v>
      </c>
    </row>
    <row r="420" spans="1:5" x14ac:dyDescent="0.25">
      <c r="A420" s="33" t="s">
        <v>715</v>
      </c>
      <c r="B420" t="s">
        <v>52</v>
      </c>
      <c r="C420">
        <v>139</v>
      </c>
      <c r="D420" s="34">
        <v>26</v>
      </c>
      <c r="E420" s="35" t="s">
        <v>680</v>
      </c>
    </row>
    <row r="421" spans="1:5" x14ac:dyDescent="0.25">
      <c r="A421" s="33" t="s">
        <v>715</v>
      </c>
      <c r="B421" t="s">
        <v>59</v>
      </c>
      <c r="C421">
        <v>120</v>
      </c>
      <c r="D421" s="34">
        <v>26</v>
      </c>
      <c r="E421" s="35" t="s">
        <v>680</v>
      </c>
    </row>
    <row r="422" spans="1:5" x14ac:dyDescent="0.25">
      <c r="A422" s="33" t="s">
        <v>715</v>
      </c>
      <c r="B422" t="s">
        <v>88</v>
      </c>
      <c r="C422">
        <v>450</v>
      </c>
      <c r="D422" s="34">
        <v>26</v>
      </c>
      <c r="E422" s="35" t="s">
        <v>680</v>
      </c>
    </row>
    <row r="423" spans="1:5" x14ac:dyDescent="0.25">
      <c r="A423" s="33" t="s">
        <v>715</v>
      </c>
      <c r="B423" t="s">
        <v>11</v>
      </c>
      <c r="C423">
        <v>1010</v>
      </c>
      <c r="D423" s="34">
        <v>26</v>
      </c>
      <c r="E423" s="35" t="s">
        <v>680</v>
      </c>
    </row>
    <row r="424" spans="1:5" x14ac:dyDescent="0.25">
      <c r="A424" s="33" t="s">
        <v>715</v>
      </c>
      <c r="B424" t="s">
        <v>17</v>
      </c>
      <c r="C424">
        <v>200</v>
      </c>
      <c r="D424" s="34">
        <v>26</v>
      </c>
      <c r="E424" s="35" t="s">
        <v>680</v>
      </c>
    </row>
    <row r="425" spans="1:5" x14ac:dyDescent="0.25">
      <c r="A425" s="33" t="s">
        <v>715</v>
      </c>
      <c r="B425" t="s">
        <v>11</v>
      </c>
      <c r="C425">
        <v>1000</v>
      </c>
      <c r="D425" s="34">
        <v>26</v>
      </c>
      <c r="E425" s="35" t="s">
        <v>680</v>
      </c>
    </row>
    <row r="426" spans="1:5" x14ac:dyDescent="0.25">
      <c r="A426" s="33" t="s">
        <v>715</v>
      </c>
      <c r="B426" t="s">
        <v>13</v>
      </c>
      <c r="C426">
        <v>114</v>
      </c>
      <c r="D426" s="34">
        <v>26</v>
      </c>
      <c r="E426" s="35" t="s">
        <v>680</v>
      </c>
    </row>
    <row r="427" spans="1:5" x14ac:dyDescent="0.25">
      <c r="A427" s="33" t="s">
        <v>716</v>
      </c>
      <c r="B427" t="s">
        <v>13</v>
      </c>
      <c r="C427">
        <v>-114</v>
      </c>
      <c r="D427" s="34">
        <v>26</v>
      </c>
      <c r="E427" s="35" t="s">
        <v>681</v>
      </c>
    </row>
    <row r="428" spans="1:5" x14ac:dyDescent="0.25">
      <c r="A428" s="33" t="s">
        <v>716</v>
      </c>
      <c r="B428" t="s">
        <v>40</v>
      </c>
      <c r="C428">
        <v>4000</v>
      </c>
      <c r="D428" s="34">
        <v>26</v>
      </c>
      <c r="E428" s="35" t="s">
        <v>681</v>
      </c>
    </row>
    <row r="429" spans="1:5" x14ac:dyDescent="0.25">
      <c r="A429" s="33" t="s">
        <v>716</v>
      </c>
      <c r="B429" t="s">
        <v>78</v>
      </c>
      <c r="C429">
        <v>3007.69</v>
      </c>
      <c r="D429" s="34">
        <v>26</v>
      </c>
      <c r="E429" s="35" t="s">
        <v>681</v>
      </c>
    </row>
    <row r="430" spans="1:5" x14ac:dyDescent="0.25">
      <c r="A430" s="33" t="s">
        <v>716</v>
      </c>
      <c r="B430" t="s">
        <v>10</v>
      </c>
      <c r="C430">
        <v>1132.0899999999999</v>
      </c>
      <c r="D430" s="34">
        <v>26</v>
      </c>
      <c r="E430" s="35" t="s">
        <v>681</v>
      </c>
    </row>
    <row r="431" spans="1:5" x14ac:dyDescent="0.25">
      <c r="A431" s="33" t="s">
        <v>716</v>
      </c>
      <c r="B431" t="s">
        <v>37</v>
      </c>
      <c r="C431">
        <v>500</v>
      </c>
      <c r="D431" s="34">
        <v>26</v>
      </c>
      <c r="E431" s="35" t="s">
        <v>681</v>
      </c>
    </row>
    <row r="432" spans="1:5" x14ac:dyDescent="0.25">
      <c r="A432" s="33" t="s">
        <v>716</v>
      </c>
      <c r="B432" t="s">
        <v>29</v>
      </c>
      <c r="C432">
        <v>500</v>
      </c>
      <c r="D432" s="34">
        <v>26</v>
      </c>
      <c r="E432" s="35" t="s">
        <v>681</v>
      </c>
    </row>
    <row r="433" spans="1:5" x14ac:dyDescent="0.25">
      <c r="A433" s="33" t="s">
        <v>716</v>
      </c>
      <c r="B433" t="s">
        <v>11</v>
      </c>
      <c r="C433">
        <v>135</v>
      </c>
      <c r="D433" s="34">
        <v>26</v>
      </c>
      <c r="E433" s="35" t="s">
        <v>681</v>
      </c>
    </row>
    <row r="434" spans="1:5" x14ac:dyDescent="0.25">
      <c r="A434" s="33" t="s">
        <v>716</v>
      </c>
      <c r="B434" t="s">
        <v>76</v>
      </c>
      <c r="C434">
        <v>232.44</v>
      </c>
      <c r="D434" s="34">
        <v>26</v>
      </c>
      <c r="E434" s="35" t="s">
        <v>681</v>
      </c>
    </row>
    <row r="435" spans="1:5" x14ac:dyDescent="0.25">
      <c r="A435" s="33" t="s">
        <v>716</v>
      </c>
      <c r="B435" t="s">
        <v>11</v>
      </c>
      <c r="C435">
        <v>1018</v>
      </c>
      <c r="D435" s="34">
        <v>26</v>
      </c>
      <c r="E435" s="35" t="s">
        <v>681</v>
      </c>
    </row>
    <row r="436" spans="1:5" x14ac:dyDescent="0.25">
      <c r="A436" s="33" t="s">
        <v>716</v>
      </c>
      <c r="B436" t="s">
        <v>85</v>
      </c>
      <c r="C436">
        <v>10</v>
      </c>
      <c r="D436" s="34">
        <v>26</v>
      </c>
      <c r="E436" s="35" t="s">
        <v>681</v>
      </c>
    </row>
    <row r="437" spans="1:5" x14ac:dyDescent="0.25">
      <c r="A437" s="33" t="s">
        <v>716</v>
      </c>
      <c r="B437" t="s">
        <v>3</v>
      </c>
      <c r="C437">
        <v>215</v>
      </c>
      <c r="D437" s="34">
        <v>26</v>
      </c>
      <c r="E437" s="35" t="s">
        <v>681</v>
      </c>
    </row>
    <row r="438" spans="1:5" x14ac:dyDescent="0.25">
      <c r="A438" s="33" t="s">
        <v>716</v>
      </c>
      <c r="B438" t="s">
        <v>11</v>
      </c>
      <c r="C438">
        <v>1000</v>
      </c>
      <c r="D438" s="34">
        <v>26</v>
      </c>
      <c r="E438" s="35" t="s">
        <v>681</v>
      </c>
    </row>
    <row r="439" spans="1:5" x14ac:dyDescent="0.25">
      <c r="A439" s="33" t="s">
        <v>716</v>
      </c>
      <c r="B439" t="s">
        <v>52</v>
      </c>
      <c r="C439">
        <v>363</v>
      </c>
      <c r="D439" s="34">
        <v>26</v>
      </c>
      <c r="E439" s="35" t="s">
        <v>681</v>
      </c>
    </row>
    <row r="440" spans="1:5" x14ac:dyDescent="0.25">
      <c r="A440" s="33" t="s">
        <v>716</v>
      </c>
      <c r="B440" t="s">
        <v>3</v>
      </c>
      <c r="C440">
        <v>200</v>
      </c>
      <c r="D440" s="34">
        <v>26</v>
      </c>
      <c r="E440" s="35" t="s">
        <v>681</v>
      </c>
    </row>
    <row r="441" spans="1:5" x14ac:dyDescent="0.25">
      <c r="A441" s="33" t="s">
        <v>716</v>
      </c>
      <c r="B441" t="s">
        <v>31</v>
      </c>
      <c r="C441">
        <v>370</v>
      </c>
      <c r="D441" s="34">
        <v>26</v>
      </c>
      <c r="E441" s="35" t="s">
        <v>681</v>
      </c>
    </row>
    <row r="442" spans="1:5" x14ac:dyDescent="0.25">
      <c r="A442" s="33" t="s">
        <v>716</v>
      </c>
      <c r="B442" t="s">
        <v>11</v>
      </c>
      <c r="C442">
        <v>1000</v>
      </c>
      <c r="D442" s="34">
        <v>26</v>
      </c>
      <c r="E442" s="35" t="s">
        <v>681</v>
      </c>
    </row>
    <row r="443" spans="1:5" x14ac:dyDescent="0.25">
      <c r="A443" s="33" t="s">
        <v>716</v>
      </c>
      <c r="B443" t="s">
        <v>72</v>
      </c>
      <c r="C443">
        <v>1000</v>
      </c>
      <c r="D443" s="34">
        <v>26</v>
      </c>
      <c r="E443" s="35" t="s">
        <v>681</v>
      </c>
    </row>
    <row r="444" spans="1:5" x14ac:dyDescent="0.25">
      <c r="A444" s="33" t="s">
        <v>716</v>
      </c>
      <c r="B444" t="s">
        <v>13</v>
      </c>
      <c r="C444">
        <v>677.29999999999905</v>
      </c>
      <c r="D444" s="34">
        <v>26</v>
      </c>
      <c r="E444" s="35" t="s">
        <v>681</v>
      </c>
    </row>
    <row r="445" spans="1:5" x14ac:dyDescent="0.25">
      <c r="A445" s="33" t="s">
        <v>717</v>
      </c>
      <c r="B445" t="s">
        <v>13</v>
      </c>
      <c r="C445">
        <v>-677.29999999999905</v>
      </c>
      <c r="D445" s="34">
        <v>26</v>
      </c>
      <c r="E445" s="35" t="s">
        <v>682</v>
      </c>
    </row>
    <row r="446" spans="1:5" x14ac:dyDescent="0.25">
      <c r="A446" s="33" t="s">
        <v>717</v>
      </c>
      <c r="B446" t="s">
        <v>40</v>
      </c>
      <c r="C446">
        <v>4000</v>
      </c>
      <c r="D446" s="34">
        <v>26</v>
      </c>
      <c r="E446" s="35" t="s">
        <v>682</v>
      </c>
    </row>
    <row r="447" spans="1:5" x14ac:dyDescent="0.25">
      <c r="A447" s="33" t="s">
        <v>717</v>
      </c>
      <c r="B447" t="s">
        <v>8</v>
      </c>
      <c r="C447">
        <v>1330</v>
      </c>
      <c r="D447" s="34">
        <v>26</v>
      </c>
      <c r="E447" s="35" t="s">
        <v>682</v>
      </c>
    </row>
    <row r="448" spans="1:5" x14ac:dyDescent="0.25">
      <c r="A448" s="33" t="s">
        <v>717</v>
      </c>
      <c r="B448" t="s">
        <v>10</v>
      </c>
      <c r="C448">
        <v>2000</v>
      </c>
      <c r="D448" s="34">
        <v>26</v>
      </c>
      <c r="E448" s="35" t="s">
        <v>682</v>
      </c>
    </row>
    <row r="449" spans="1:5" x14ac:dyDescent="0.25">
      <c r="A449" s="33" t="s">
        <v>717</v>
      </c>
      <c r="B449" t="s">
        <v>17</v>
      </c>
      <c r="C449">
        <v>270</v>
      </c>
      <c r="D449" s="34">
        <v>26</v>
      </c>
      <c r="E449" s="35" t="s">
        <v>682</v>
      </c>
    </row>
    <row r="450" spans="1:5" x14ac:dyDescent="0.25">
      <c r="A450" s="33" t="s">
        <v>717</v>
      </c>
      <c r="B450" t="s">
        <v>44</v>
      </c>
      <c r="C450">
        <v>100</v>
      </c>
      <c r="D450" s="34">
        <v>26</v>
      </c>
      <c r="E450" s="35" t="s">
        <v>682</v>
      </c>
    </row>
    <row r="451" spans="1:5" x14ac:dyDescent="0.25">
      <c r="A451" s="33" t="s">
        <v>717</v>
      </c>
      <c r="B451" t="s">
        <v>57</v>
      </c>
      <c r="C451">
        <v>560</v>
      </c>
      <c r="D451" s="34">
        <v>26</v>
      </c>
      <c r="E451" s="35" t="s">
        <v>682</v>
      </c>
    </row>
    <row r="452" spans="1:5" x14ac:dyDescent="0.25">
      <c r="A452" s="33" t="s">
        <v>717</v>
      </c>
      <c r="B452" t="s">
        <v>31</v>
      </c>
      <c r="C452">
        <v>300</v>
      </c>
      <c r="D452" s="34">
        <v>26</v>
      </c>
      <c r="E452" s="35" t="s">
        <v>682</v>
      </c>
    </row>
    <row r="453" spans="1:5" x14ac:dyDescent="0.25">
      <c r="A453" s="33" t="s">
        <v>717</v>
      </c>
      <c r="B453" t="s">
        <v>11</v>
      </c>
      <c r="C453">
        <v>900</v>
      </c>
      <c r="D453" s="34">
        <v>26</v>
      </c>
      <c r="E453" s="35" t="s">
        <v>682</v>
      </c>
    </row>
    <row r="454" spans="1:5" x14ac:dyDescent="0.25">
      <c r="A454" s="33" t="s">
        <v>717</v>
      </c>
      <c r="B454" t="s">
        <v>31</v>
      </c>
      <c r="C454">
        <v>192</v>
      </c>
      <c r="D454" s="34">
        <v>26</v>
      </c>
      <c r="E454" s="35" t="s">
        <v>682</v>
      </c>
    </row>
    <row r="455" spans="1:5" x14ac:dyDescent="0.25">
      <c r="A455" s="33" t="s">
        <v>717</v>
      </c>
      <c r="B455" t="s">
        <v>85</v>
      </c>
      <c r="C455">
        <v>20</v>
      </c>
      <c r="D455" s="34">
        <v>26</v>
      </c>
      <c r="E455" s="35" t="s">
        <v>682</v>
      </c>
    </row>
    <row r="456" spans="1:5" x14ac:dyDescent="0.25">
      <c r="A456" s="33" t="s">
        <v>717</v>
      </c>
      <c r="B456" t="s">
        <v>79</v>
      </c>
      <c r="C456">
        <v>0.26</v>
      </c>
      <c r="D456" s="34">
        <v>26</v>
      </c>
      <c r="E456" s="35" t="s">
        <v>682</v>
      </c>
    </row>
    <row r="457" spans="1:5" x14ac:dyDescent="0.25">
      <c r="A457" s="33" t="s">
        <v>717</v>
      </c>
      <c r="B457" t="s">
        <v>41</v>
      </c>
      <c r="C457">
        <v>-1.28</v>
      </c>
      <c r="D457" s="34">
        <v>26</v>
      </c>
      <c r="E457" s="35" t="s">
        <v>682</v>
      </c>
    </row>
    <row r="458" spans="1:5" x14ac:dyDescent="0.25">
      <c r="A458" s="33" t="s">
        <v>717</v>
      </c>
      <c r="B458" t="s">
        <v>57</v>
      </c>
      <c r="C458">
        <v>1000</v>
      </c>
      <c r="D458" s="34">
        <v>26</v>
      </c>
      <c r="E458" s="35" t="s">
        <v>682</v>
      </c>
    </row>
    <row r="459" spans="1:5" x14ac:dyDescent="0.25">
      <c r="A459" s="33" t="s">
        <v>717</v>
      </c>
      <c r="B459" t="s">
        <v>29</v>
      </c>
      <c r="C459">
        <v>510</v>
      </c>
      <c r="D459" s="34">
        <v>26</v>
      </c>
      <c r="E459" s="35" t="s">
        <v>682</v>
      </c>
    </row>
    <row r="460" spans="1:5" x14ac:dyDescent="0.25">
      <c r="A460" s="33" t="s">
        <v>717</v>
      </c>
      <c r="B460" t="s">
        <v>11</v>
      </c>
      <c r="C460">
        <v>1500</v>
      </c>
      <c r="D460" s="34">
        <v>26</v>
      </c>
      <c r="E460" s="35" t="s">
        <v>682</v>
      </c>
    </row>
    <row r="461" spans="1:5" x14ac:dyDescent="0.25">
      <c r="A461" s="33" t="s">
        <v>717</v>
      </c>
      <c r="B461" t="s">
        <v>13</v>
      </c>
      <c r="C461">
        <v>358.65</v>
      </c>
      <c r="D461" s="34">
        <v>26</v>
      </c>
      <c r="E461" s="35" t="s">
        <v>682</v>
      </c>
    </row>
    <row r="462" spans="1:5" x14ac:dyDescent="0.25">
      <c r="A462" s="33" t="s">
        <v>718</v>
      </c>
      <c r="B462" t="s">
        <v>13</v>
      </c>
      <c r="C462">
        <v>-358.65</v>
      </c>
      <c r="D462" s="34">
        <v>26</v>
      </c>
      <c r="E462" s="35" t="s">
        <v>683</v>
      </c>
    </row>
    <row r="463" spans="1:5" x14ac:dyDescent="0.25">
      <c r="A463" s="33" t="s">
        <v>718</v>
      </c>
      <c r="B463" t="s">
        <v>40</v>
      </c>
      <c r="C463">
        <v>4000</v>
      </c>
      <c r="D463" s="34">
        <v>26</v>
      </c>
      <c r="E463" s="35" t="s">
        <v>683</v>
      </c>
    </row>
    <row r="464" spans="1:5" x14ac:dyDescent="0.25">
      <c r="A464" s="33" t="s">
        <v>718</v>
      </c>
      <c r="B464" t="s">
        <v>10</v>
      </c>
      <c r="C464">
        <v>6324.79</v>
      </c>
      <c r="D464" s="34">
        <v>26</v>
      </c>
      <c r="E464" s="35" t="s">
        <v>683</v>
      </c>
    </row>
    <row r="465" spans="1:5" x14ac:dyDescent="0.25">
      <c r="A465" s="33" t="s">
        <v>718</v>
      </c>
      <c r="B465" t="s">
        <v>8</v>
      </c>
      <c r="C465">
        <v>1731.95</v>
      </c>
      <c r="D465" s="34">
        <v>26</v>
      </c>
      <c r="E465" s="35" t="s">
        <v>683</v>
      </c>
    </row>
    <row r="466" spans="1:5" x14ac:dyDescent="0.25">
      <c r="A466" s="33" t="s">
        <v>718</v>
      </c>
      <c r="B466" t="s">
        <v>85</v>
      </c>
      <c r="C466">
        <v>10</v>
      </c>
      <c r="D466" s="34">
        <v>26</v>
      </c>
      <c r="E466" s="35" t="s">
        <v>683</v>
      </c>
    </row>
    <row r="467" spans="1:5" x14ac:dyDescent="0.25">
      <c r="A467" s="33" t="s">
        <v>718</v>
      </c>
      <c r="B467" t="s">
        <v>11</v>
      </c>
      <c r="C467">
        <v>1500</v>
      </c>
      <c r="D467" s="34">
        <v>26</v>
      </c>
      <c r="E467" s="35" t="s">
        <v>683</v>
      </c>
    </row>
    <row r="468" spans="1:5" x14ac:dyDescent="0.25">
      <c r="A468" s="33" t="s">
        <v>718</v>
      </c>
      <c r="B468" t="s">
        <v>31</v>
      </c>
      <c r="C468">
        <v>300</v>
      </c>
      <c r="D468" s="34">
        <v>26</v>
      </c>
      <c r="E468" s="35" t="s">
        <v>683</v>
      </c>
    </row>
    <row r="469" spans="1:5" x14ac:dyDescent="0.25">
      <c r="A469" s="33" t="s">
        <v>718</v>
      </c>
      <c r="B469" t="s">
        <v>31</v>
      </c>
      <c r="C469">
        <v>222</v>
      </c>
      <c r="D469" s="34">
        <v>26</v>
      </c>
      <c r="E469" s="35" t="s">
        <v>683</v>
      </c>
    </row>
    <row r="470" spans="1:5" x14ac:dyDescent="0.25">
      <c r="A470" s="33" t="s">
        <v>718</v>
      </c>
      <c r="B470" t="s">
        <v>76</v>
      </c>
      <c r="C470">
        <v>232.44</v>
      </c>
      <c r="D470" s="34">
        <v>26</v>
      </c>
      <c r="E470" s="35" t="s">
        <v>683</v>
      </c>
    </row>
    <row r="471" spans="1:5" x14ac:dyDescent="0.25">
      <c r="A471" s="33" t="s">
        <v>718</v>
      </c>
      <c r="B471" t="s">
        <v>31</v>
      </c>
      <c r="C471">
        <v>120</v>
      </c>
      <c r="D471" s="34">
        <v>26</v>
      </c>
      <c r="E471" s="35" t="s">
        <v>683</v>
      </c>
    </row>
    <row r="472" spans="1:5" x14ac:dyDescent="0.25">
      <c r="A472" s="33" t="s">
        <v>718</v>
      </c>
      <c r="B472" t="s">
        <v>84</v>
      </c>
      <c r="C472">
        <v>-1000</v>
      </c>
      <c r="D472" s="34">
        <v>26</v>
      </c>
      <c r="E472" s="35" t="s">
        <v>683</v>
      </c>
    </row>
    <row r="473" spans="1:5" x14ac:dyDescent="0.25">
      <c r="A473" s="33" t="s">
        <v>718</v>
      </c>
      <c r="B473" t="s">
        <v>11</v>
      </c>
      <c r="C473">
        <v>2000</v>
      </c>
      <c r="D473" s="34">
        <v>26</v>
      </c>
      <c r="E473" s="35" t="s">
        <v>683</v>
      </c>
    </row>
    <row r="474" spans="1:5" x14ac:dyDescent="0.25">
      <c r="A474" s="33" t="s">
        <v>718</v>
      </c>
      <c r="B474" t="s">
        <v>13</v>
      </c>
      <c r="C474">
        <v>163.99</v>
      </c>
      <c r="D474" s="34">
        <v>26</v>
      </c>
      <c r="E474" s="35" t="s">
        <v>683</v>
      </c>
    </row>
    <row r="475" spans="1:5" x14ac:dyDescent="0.25">
      <c r="A475" s="33" t="s">
        <v>719</v>
      </c>
      <c r="B475" t="s">
        <v>13</v>
      </c>
      <c r="C475">
        <v>-163.99</v>
      </c>
      <c r="D475" s="34">
        <v>26</v>
      </c>
      <c r="E475" s="35" t="s">
        <v>684</v>
      </c>
    </row>
    <row r="476" spans="1:5" x14ac:dyDescent="0.25">
      <c r="A476" s="33" t="s">
        <v>719</v>
      </c>
      <c r="B476" t="s">
        <v>40</v>
      </c>
      <c r="C476">
        <v>4000</v>
      </c>
      <c r="D476" s="34">
        <v>26</v>
      </c>
      <c r="E476" s="35" t="s">
        <v>684</v>
      </c>
    </row>
    <row r="477" spans="1:5" x14ac:dyDescent="0.25">
      <c r="A477" s="33" t="s">
        <v>719</v>
      </c>
      <c r="B477" t="s">
        <v>10</v>
      </c>
      <c r="C477">
        <v>1182.5</v>
      </c>
      <c r="D477" s="34">
        <v>26</v>
      </c>
      <c r="E477" s="35" t="s">
        <v>684</v>
      </c>
    </row>
    <row r="478" spans="1:5" x14ac:dyDescent="0.25">
      <c r="A478" s="33" t="s">
        <v>719</v>
      </c>
      <c r="B478" t="s">
        <v>22</v>
      </c>
      <c r="C478">
        <v>1426.29</v>
      </c>
      <c r="D478" s="34">
        <v>26</v>
      </c>
      <c r="E478" s="35" t="s">
        <v>684</v>
      </c>
    </row>
    <row r="479" spans="1:5" x14ac:dyDescent="0.25">
      <c r="A479" s="33" t="s">
        <v>719</v>
      </c>
      <c r="B479" t="s">
        <v>8</v>
      </c>
      <c r="C479">
        <v>3948</v>
      </c>
      <c r="D479" s="34">
        <v>26</v>
      </c>
      <c r="E479" s="35" t="s">
        <v>684</v>
      </c>
    </row>
    <row r="480" spans="1:5" x14ac:dyDescent="0.25">
      <c r="A480" s="33" t="s">
        <v>719</v>
      </c>
      <c r="B480" t="s">
        <v>48</v>
      </c>
      <c r="C480">
        <v>1000</v>
      </c>
      <c r="D480" s="34">
        <v>26</v>
      </c>
      <c r="E480" s="35" t="s">
        <v>684</v>
      </c>
    </row>
    <row r="481" spans="1:5" x14ac:dyDescent="0.25">
      <c r="A481" s="33" t="s">
        <v>719</v>
      </c>
      <c r="B481" t="s">
        <v>36</v>
      </c>
      <c r="C481">
        <v>1000</v>
      </c>
      <c r="D481" s="34">
        <v>26</v>
      </c>
      <c r="E481" s="35" t="s">
        <v>684</v>
      </c>
    </row>
    <row r="482" spans="1:5" x14ac:dyDescent="0.25">
      <c r="A482" s="33" t="s">
        <v>719</v>
      </c>
      <c r="B482" t="s">
        <v>59</v>
      </c>
      <c r="C482">
        <v>1000</v>
      </c>
      <c r="D482" s="34">
        <v>26</v>
      </c>
      <c r="E482" s="35" t="s">
        <v>684</v>
      </c>
    </row>
    <row r="483" spans="1:5" x14ac:dyDescent="0.25">
      <c r="A483" s="33" t="s">
        <v>719</v>
      </c>
      <c r="B483" t="s">
        <v>88</v>
      </c>
      <c r="C483">
        <v>460</v>
      </c>
      <c r="D483" s="34">
        <v>26</v>
      </c>
      <c r="E483" s="35" t="s">
        <v>684</v>
      </c>
    </row>
    <row r="484" spans="1:5" x14ac:dyDescent="0.25">
      <c r="A484" s="33" t="s">
        <v>719</v>
      </c>
      <c r="B484" t="s">
        <v>85</v>
      </c>
      <c r="C484">
        <v>10</v>
      </c>
      <c r="D484" s="34">
        <v>26</v>
      </c>
      <c r="E484" s="35" t="s">
        <v>684</v>
      </c>
    </row>
    <row r="485" spans="1:5" x14ac:dyDescent="0.25">
      <c r="A485" s="33" t="s">
        <v>719</v>
      </c>
      <c r="B485" t="s">
        <v>3</v>
      </c>
      <c r="C485">
        <v>225</v>
      </c>
      <c r="D485" s="34">
        <v>26</v>
      </c>
      <c r="E485" s="35" t="s">
        <v>684</v>
      </c>
    </row>
    <row r="486" spans="1:5" x14ac:dyDescent="0.25">
      <c r="A486" s="33" t="s">
        <v>719</v>
      </c>
      <c r="B486" t="s">
        <v>48</v>
      </c>
      <c r="C486">
        <v>500</v>
      </c>
      <c r="D486" s="34">
        <v>26</v>
      </c>
      <c r="E486" s="35" t="s">
        <v>684</v>
      </c>
    </row>
    <row r="487" spans="1:5" x14ac:dyDescent="0.25">
      <c r="A487" s="33" t="s">
        <v>719</v>
      </c>
      <c r="B487" t="s">
        <v>11</v>
      </c>
      <c r="C487">
        <v>1000</v>
      </c>
      <c r="D487" s="34">
        <v>26</v>
      </c>
      <c r="E487" s="35" t="s">
        <v>684</v>
      </c>
    </row>
    <row r="488" spans="1:5" x14ac:dyDescent="0.25">
      <c r="A488" s="33" t="s">
        <v>719</v>
      </c>
      <c r="B488" t="s">
        <v>11</v>
      </c>
      <c r="C488">
        <v>510</v>
      </c>
      <c r="D488" s="34">
        <v>26</v>
      </c>
      <c r="E488" s="35" t="s">
        <v>684</v>
      </c>
    </row>
    <row r="489" spans="1:5" x14ac:dyDescent="0.25">
      <c r="A489" s="33" t="s">
        <v>719</v>
      </c>
      <c r="B489" t="s">
        <v>93</v>
      </c>
      <c r="C489">
        <v>18</v>
      </c>
      <c r="D489" s="34">
        <v>26</v>
      </c>
      <c r="E489" s="35" t="s">
        <v>684</v>
      </c>
    </row>
    <row r="490" spans="1:5" x14ac:dyDescent="0.25">
      <c r="A490" s="33" t="s">
        <v>719</v>
      </c>
      <c r="B490" t="s">
        <v>85</v>
      </c>
      <c r="C490">
        <v>10</v>
      </c>
      <c r="D490" s="34">
        <v>26</v>
      </c>
      <c r="E490" s="35" t="s">
        <v>684</v>
      </c>
    </row>
    <row r="491" spans="1:5" x14ac:dyDescent="0.25">
      <c r="A491" s="33" t="s">
        <v>719</v>
      </c>
      <c r="B491" t="s">
        <v>93</v>
      </c>
      <c r="C491">
        <v>36</v>
      </c>
      <c r="D491" s="34">
        <v>26</v>
      </c>
      <c r="E491" s="35" t="s">
        <v>684</v>
      </c>
    </row>
    <row r="492" spans="1:5" x14ac:dyDescent="0.25">
      <c r="A492" s="33" t="s">
        <v>719</v>
      </c>
      <c r="B492" t="s">
        <v>84</v>
      </c>
      <c r="C492">
        <v>100</v>
      </c>
      <c r="D492" s="34">
        <v>26</v>
      </c>
      <c r="E492" s="35" t="s">
        <v>684</v>
      </c>
    </row>
    <row r="493" spans="1:5" x14ac:dyDescent="0.25">
      <c r="A493" s="33" t="s">
        <v>719</v>
      </c>
      <c r="B493" t="s">
        <v>72</v>
      </c>
      <c r="C493">
        <v>1000</v>
      </c>
      <c r="D493" s="34">
        <v>26</v>
      </c>
      <c r="E493" s="35" t="s">
        <v>684</v>
      </c>
    </row>
    <row r="494" spans="1:5" x14ac:dyDescent="0.25">
      <c r="A494" s="33" t="s">
        <v>719</v>
      </c>
      <c r="B494" t="s">
        <v>13</v>
      </c>
      <c r="C494">
        <v>187.45000000000101</v>
      </c>
      <c r="D494" s="34">
        <v>26</v>
      </c>
      <c r="E494" s="35" t="s">
        <v>684</v>
      </c>
    </row>
    <row r="495" spans="1:5" x14ac:dyDescent="0.25">
      <c r="A495" s="33" t="s">
        <v>720</v>
      </c>
      <c r="B495" t="s">
        <v>13</v>
      </c>
      <c r="C495">
        <v>-187.45000000000101</v>
      </c>
      <c r="D495" s="34">
        <v>26</v>
      </c>
      <c r="E495" s="35" t="s">
        <v>685</v>
      </c>
    </row>
    <row r="496" spans="1:5" x14ac:dyDescent="0.25">
      <c r="A496" s="33" t="s">
        <v>720</v>
      </c>
      <c r="B496" t="s">
        <v>13</v>
      </c>
      <c r="C496">
        <v>-34.930000000000298</v>
      </c>
      <c r="D496" s="34">
        <v>26</v>
      </c>
      <c r="E496" s="35" t="s">
        <v>685</v>
      </c>
    </row>
    <row r="497" spans="1:5" x14ac:dyDescent="0.25">
      <c r="A497" s="33" t="s">
        <v>720</v>
      </c>
      <c r="B497" t="s">
        <v>3</v>
      </c>
      <c r="C497">
        <v>1000</v>
      </c>
      <c r="D497" s="34">
        <v>26</v>
      </c>
      <c r="E497" s="35" t="s">
        <v>685</v>
      </c>
    </row>
    <row r="498" spans="1:5" x14ac:dyDescent="0.25">
      <c r="A498" s="33" t="s">
        <v>720</v>
      </c>
      <c r="B498" t="s">
        <v>40</v>
      </c>
      <c r="C498">
        <v>4000</v>
      </c>
      <c r="D498" s="34">
        <v>26</v>
      </c>
      <c r="E498" s="35" t="s">
        <v>685</v>
      </c>
    </row>
    <row r="499" spans="1:5" x14ac:dyDescent="0.25">
      <c r="A499" s="33" t="s">
        <v>720</v>
      </c>
      <c r="B499" t="s">
        <v>8</v>
      </c>
      <c r="C499">
        <v>5328.34</v>
      </c>
      <c r="D499" s="34">
        <v>26</v>
      </c>
      <c r="E499" s="35" t="s">
        <v>685</v>
      </c>
    </row>
    <row r="500" spans="1:5" x14ac:dyDescent="0.25">
      <c r="A500" s="33" t="s">
        <v>720</v>
      </c>
      <c r="B500" t="s">
        <v>10</v>
      </c>
      <c r="C500">
        <v>187</v>
      </c>
      <c r="D500" s="34">
        <v>26</v>
      </c>
      <c r="E500" s="35" t="s">
        <v>685</v>
      </c>
    </row>
    <row r="501" spans="1:5" x14ac:dyDescent="0.25">
      <c r="A501" s="33" t="s">
        <v>720</v>
      </c>
      <c r="B501" t="s">
        <v>85</v>
      </c>
      <c r="C501">
        <v>10</v>
      </c>
      <c r="D501" s="34">
        <v>26</v>
      </c>
      <c r="E501" s="35" t="s">
        <v>685</v>
      </c>
    </row>
    <row r="502" spans="1:5" x14ac:dyDescent="0.25">
      <c r="A502" s="33" t="s">
        <v>720</v>
      </c>
      <c r="B502" t="s">
        <v>11</v>
      </c>
      <c r="C502">
        <v>1010</v>
      </c>
      <c r="D502" s="34">
        <v>26</v>
      </c>
      <c r="E502" s="35" t="s">
        <v>685</v>
      </c>
    </row>
    <row r="503" spans="1:5" x14ac:dyDescent="0.25">
      <c r="A503" s="33" t="s">
        <v>720</v>
      </c>
      <c r="B503" t="s">
        <v>31</v>
      </c>
      <c r="C503">
        <v>120</v>
      </c>
      <c r="D503" s="34">
        <v>26</v>
      </c>
      <c r="E503" s="35" t="s">
        <v>685</v>
      </c>
    </row>
    <row r="504" spans="1:5" x14ac:dyDescent="0.25">
      <c r="A504" s="33" t="s">
        <v>720</v>
      </c>
      <c r="B504" t="s">
        <v>76</v>
      </c>
      <c r="C504">
        <v>232.44</v>
      </c>
      <c r="D504" s="34">
        <v>26</v>
      </c>
      <c r="E504" s="35" t="s">
        <v>685</v>
      </c>
    </row>
    <row r="505" spans="1:5" x14ac:dyDescent="0.25">
      <c r="A505" s="33" t="s">
        <v>720</v>
      </c>
      <c r="B505" t="s">
        <v>48</v>
      </c>
      <c r="C505">
        <v>1000</v>
      </c>
      <c r="D505" s="34">
        <v>26</v>
      </c>
      <c r="E505" s="35" t="s">
        <v>685</v>
      </c>
    </row>
    <row r="506" spans="1:5" x14ac:dyDescent="0.25">
      <c r="A506" s="33" t="s">
        <v>720</v>
      </c>
      <c r="B506" t="s">
        <v>13</v>
      </c>
      <c r="C506">
        <v>447.45000000000402</v>
      </c>
      <c r="D506" s="34">
        <v>26</v>
      </c>
      <c r="E506" s="35" t="s">
        <v>685</v>
      </c>
    </row>
    <row r="507" spans="1:5" x14ac:dyDescent="0.25">
      <c r="A507" s="33" t="s">
        <v>127</v>
      </c>
      <c r="B507" t="s">
        <v>87</v>
      </c>
      <c r="C507">
        <v>6000</v>
      </c>
      <c r="D507" s="34" t="s">
        <v>721</v>
      </c>
      <c r="E507" s="35" t="s">
        <v>722</v>
      </c>
    </row>
    <row r="508" spans="1:5" x14ac:dyDescent="0.25">
      <c r="A508" s="33" t="s">
        <v>127</v>
      </c>
      <c r="B508" t="s">
        <v>87</v>
      </c>
      <c r="C508">
        <v>5000</v>
      </c>
      <c r="D508" s="34" t="s">
        <v>721</v>
      </c>
      <c r="E508" s="35" t="s">
        <v>722</v>
      </c>
    </row>
    <row r="509" spans="1:5" x14ac:dyDescent="0.25">
      <c r="A509" s="33" t="s">
        <v>127</v>
      </c>
      <c r="B509" t="s">
        <v>19</v>
      </c>
      <c r="C509">
        <v>3093.02</v>
      </c>
      <c r="D509" s="34" t="s">
        <v>721</v>
      </c>
      <c r="E509" s="35" t="s">
        <v>722</v>
      </c>
    </row>
    <row r="510" spans="1:5" x14ac:dyDescent="0.25">
      <c r="A510" s="33" t="s">
        <v>127</v>
      </c>
      <c r="B510" t="s">
        <v>68</v>
      </c>
      <c r="C510">
        <v>-3093.02</v>
      </c>
      <c r="D510" s="34" t="s">
        <v>721</v>
      </c>
      <c r="E510" s="35" t="s">
        <v>722</v>
      </c>
    </row>
    <row r="511" spans="1:5" x14ac:dyDescent="0.25">
      <c r="A511" s="33" t="s">
        <v>127</v>
      </c>
      <c r="B511" t="s">
        <v>72</v>
      </c>
      <c r="C511">
        <v>-2000</v>
      </c>
      <c r="D511" s="34" t="s">
        <v>721</v>
      </c>
      <c r="E511" s="35" t="s">
        <v>722</v>
      </c>
    </row>
    <row r="512" spans="1:5" x14ac:dyDescent="0.25">
      <c r="A512" s="33" t="s">
        <v>127</v>
      </c>
      <c r="B512" t="s">
        <v>72</v>
      </c>
      <c r="C512">
        <v>-2100</v>
      </c>
      <c r="D512" s="34" t="s">
        <v>721</v>
      </c>
      <c r="E512" s="35" t="s">
        <v>722</v>
      </c>
    </row>
    <row r="513" spans="1:5" x14ac:dyDescent="0.25">
      <c r="A513" s="33" t="s">
        <v>127</v>
      </c>
      <c r="B513" t="s">
        <v>72</v>
      </c>
      <c r="C513">
        <v>-5000</v>
      </c>
      <c r="D513" s="34" t="s">
        <v>721</v>
      </c>
      <c r="E513" s="35" t="s">
        <v>722</v>
      </c>
    </row>
    <row r="514" spans="1:5" x14ac:dyDescent="0.25">
      <c r="A514" s="33" t="s">
        <v>127</v>
      </c>
      <c r="B514" t="s">
        <v>59</v>
      </c>
      <c r="C514">
        <v>-2000</v>
      </c>
      <c r="D514" s="34" t="s">
        <v>721</v>
      </c>
      <c r="E514" s="35" t="s">
        <v>722</v>
      </c>
    </row>
    <row r="515" spans="1:5" x14ac:dyDescent="0.25">
      <c r="A515" s="33" t="s">
        <v>127</v>
      </c>
      <c r="B515" t="s">
        <v>72</v>
      </c>
      <c r="C515">
        <v>-3000</v>
      </c>
      <c r="D515" s="34" t="s">
        <v>721</v>
      </c>
      <c r="E515" s="35" t="s">
        <v>722</v>
      </c>
    </row>
    <row r="516" spans="1:5" x14ac:dyDescent="0.25">
      <c r="A516" s="33" t="s">
        <v>127</v>
      </c>
      <c r="B516" t="s">
        <v>72</v>
      </c>
      <c r="C516">
        <v>-5000</v>
      </c>
      <c r="D516" s="34" t="s">
        <v>721</v>
      </c>
      <c r="E516" s="35" t="s">
        <v>722</v>
      </c>
    </row>
    <row r="517" spans="1:5" x14ac:dyDescent="0.25">
      <c r="A517" s="33" t="s">
        <v>127</v>
      </c>
      <c r="B517" t="s">
        <v>72</v>
      </c>
      <c r="C517">
        <v>-3000</v>
      </c>
      <c r="D517" s="34" t="s">
        <v>721</v>
      </c>
      <c r="E517" s="35" t="s">
        <v>722</v>
      </c>
    </row>
    <row r="518" spans="1:5" x14ac:dyDescent="0.25">
      <c r="A518" s="33" t="s">
        <v>127</v>
      </c>
      <c r="B518" t="s">
        <v>72</v>
      </c>
      <c r="C518">
        <v>-2000</v>
      </c>
      <c r="D518" s="34" t="s">
        <v>721</v>
      </c>
      <c r="E518" s="35" t="s">
        <v>722</v>
      </c>
    </row>
    <row r="519" spans="1:5" x14ac:dyDescent="0.25">
      <c r="A519" s="33" t="s">
        <v>127</v>
      </c>
      <c r="B519" t="s">
        <v>59</v>
      </c>
      <c r="C519">
        <v>-1000</v>
      </c>
      <c r="D519" s="34" t="s">
        <v>721</v>
      </c>
      <c r="E519" s="35" t="s">
        <v>722</v>
      </c>
    </row>
    <row r="520" spans="1:5" x14ac:dyDescent="0.25">
      <c r="A520" s="33" t="s">
        <v>127</v>
      </c>
      <c r="B520" t="s">
        <v>72</v>
      </c>
      <c r="C520">
        <v>-2000</v>
      </c>
      <c r="D520" s="34" t="s">
        <v>721</v>
      </c>
      <c r="E520" s="35" t="s">
        <v>722</v>
      </c>
    </row>
    <row r="521" spans="1:5" x14ac:dyDescent="0.25">
      <c r="A521" s="33" t="s">
        <v>127</v>
      </c>
      <c r="B521" t="s">
        <v>72</v>
      </c>
      <c r="C521">
        <v>-2500</v>
      </c>
      <c r="D521" s="34" t="s">
        <v>721</v>
      </c>
      <c r="E521" s="35" t="s">
        <v>722</v>
      </c>
    </row>
    <row r="522" spans="1:5" x14ac:dyDescent="0.25">
      <c r="A522" s="33" t="s">
        <v>127</v>
      </c>
      <c r="B522" t="s">
        <v>72</v>
      </c>
      <c r="C522">
        <v>-2000</v>
      </c>
      <c r="D522" s="34" t="s">
        <v>721</v>
      </c>
      <c r="E522" s="35" t="s">
        <v>722</v>
      </c>
    </row>
    <row r="523" spans="1:5" x14ac:dyDescent="0.25">
      <c r="A523" s="33" t="s">
        <v>127</v>
      </c>
      <c r="B523" t="s">
        <v>87</v>
      </c>
      <c r="C523">
        <v>14000</v>
      </c>
      <c r="D523" s="34" t="s">
        <v>721</v>
      </c>
      <c r="E523" s="35" t="s">
        <v>722</v>
      </c>
    </row>
    <row r="524" spans="1:5" x14ac:dyDescent="0.25">
      <c r="A524" s="33" t="s">
        <v>127</v>
      </c>
      <c r="B524" t="s">
        <v>87</v>
      </c>
      <c r="C524">
        <v>6500</v>
      </c>
      <c r="D524" s="34" t="s">
        <v>721</v>
      </c>
      <c r="E524" s="35" t="s">
        <v>722</v>
      </c>
    </row>
    <row r="525" spans="1:5" x14ac:dyDescent="0.25">
      <c r="A525" s="33" t="s">
        <v>127</v>
      </c>
      <c r="B525" t="s">
        <v>87</v>
      </c>
      <c r="C525">
        <v>2000</v>
      </c>
      <c r="D525" s="34" t="s">
        <v>721</v>
      </c>
      <c r="E525" s="35" t="s">
        <v>722</v>
      </c>
    </row>
    <row r="526" spans="1:5" x14ac:dyDescent="0.25">
      <c r="A526" s="33" t="s">
        <v>127</v>
      </c>
      <c r="B526" t="s">
        <v>78</v>
      </c>
      <c r="C526">
        <v>20000</v>
      </c>
      <c r="D526" s="34" t="s">
        <v>721</v>
      </c>
      <c r="E526" s="35" t="s">
        <v>722</v>
      </c>
    </row>
    <row r="527" spans="1:5" x14ac:dyDescent="0.25">
      <c r="A527" s="33" t="s">
        <v>127</v>
      </c>
      <c r="B527" t="s">
        <v>78</v>
      </c>
      <c r="C527">
        <v>1000</v>
      </c>
      <c r="D527" s="34" t="s">
        <v>721</v>
      </c>
      <c r="E527" s="35" t="s">
        <v>722</v>
      </c>
    </row>
    <row r="528" spans="1:5" x14ac:dyDescent="0.25">
      <c r="A528" s="33" t="s">
        <v>136</v>
      </c>
      <c r="B528" t="s">
        <v>24</v>
      </c>
      <c r="C528">
        <v>355</v>
      </c>
      <c r="D528" s="34" t="s">
        <v>721</v>
      </c>
      <c r="E528" s="35" t="s">
        <v>687</v>
      </c>
    </row>
    <row r="529" spans="1:5" x14ac:dyDescent="0.25">
      <c r="A529" s="33" t="s">
        <v>136</v>
      </c>
      <c r="B529" t="s">
        <v>24</v>
      </c>
      <c r="C529">
        <v>567</v>
      </c>
      <c r="D529" s="34" t="s">
        <v>721</v>
      </c>
      <c r="E529" s="35" t="s">
        <v>687</v>
      </c>
    </row>
    <row r="530" spans="1:5" x14ac:dyDescent="0.25">
      <c r="A530" s="33" t="s">
        <v>136</v>
      </c>
      <c r="B530" t="s">
        <v>40</v>
      </c>
      <c r="C530">
        <v>30000</v>
      </c>
      <c r="D530" s="34" t="s">
        <v>721</v>
      </c>
      <c r="E530" s="35" t="s">
        <v>687</v>
      </c>
    </row>
    <row r="531" spans="1:5" x14ac:dyDescent="0.25">
      <c r="A531" s="33" t="s">
        <v>136</v>
      </c>
      <c r="B531" t="s">
        <v>40</v>
      </c>
      <c r="C531">
        <v>15000</v>
      </c>
      <c r="D531" s="34" t="s">
        <v>721</v>
      </c>
      <c r="E531" s="35" t="s">
        <v>687</v>
      </c>
    </row>
    <row r="532" spans="1:5" x14ac:dyDescent="0.25">
      <c r="A532" s="33" t="s">
        <v>136</v>
      </c>
      <c r="B532" t="s">
        <v>61</v>
      </c>
      <c r="C532">
        <v>2500</v>
      </c>
      <c r="D532" s="34" t="s">
        <v>721</v>
      </c>
      <c r="E532" s="35" t="s">
        <v>687</v>
      </c>
    </row>
    <row r="533" spans="1:5" x14ac:dyDescent="0.25">
      <c r="A533" s="33" t="s">
        <v>136</v>
      </c>
      <c r="B533" t="s">
        <v>11</v>
      </c>
      <c r="C533">
        <v>500</v>
      </c>
      <c r="D533" s="34" t="s">
        <v>721</v>
      </c>
      <c r="E533" s="35" t="s">
        <v>687</v>
      </c>
    </row>
    <row r="534" spans="1:5" x14ac:dyDescent="0.25">
      <c r="A534" s="33" t="s">
        <v>136</v>
      </c>
      <c r="B534" t="s">
        <v>36</v>
      </c>
      <c r="C534">
        <v>1000</v>
      </c>
      <c r="D534" s="34" t="s">
        <v>721</v>
      </c>
      <c r="E534" s="35" t="s">
        <v>687</v>
      </c>
    </row>
    <row r="535" spans="1:5" x14ac:dyDescent="0.25">
      <c r="A535" s="33" t="s">
        <v>136</v>
      </c>
      <c r="B535" t="s">
        <v>36</v>
      </c>
      <c r="C535">
        <v>500</v>
      </c>
      <c r="D535" s="34" t="s">
        <v>721</v>
      </c>
      <c r="E535" s="35" t="s">
        <v>687</v>
      </c>
    </row>
    <row r="536" spans="1:5" x14ac:dyDescent="0.25">
      <c r="A536" s="33" t="s">
        <v>136</v>
      </c>
      <c r="B536" t="s">
        <v>36</v>
      </c>
      <c r="C536">
        <v>500</v>
      </c>
      <c r="D536" s="34" t="s">
        <v>721</v>
      </c>
      <c r="E536" s="35" t="s">
        <v>687</v>
      </c>
    </row>
    <row r="537" spans="1:5" x14ac:dyDescent="0.25">
      <c r="A537" s="33" t="s">
        <v>136</v>
      </c>
      <c r="B537" t="s">
        <v>40</v>
      </c>
      <c r="C537">
        <v>5000</v>
      </c>
      <c r="D537" s="34" t="s">
        <v>721</v>
      </c>
      <c r="E537" s="35" t="s">
        <v>687</v>
      </c>
    </row>
    <row r="538" spans="1:5" x14ac:dyDescent="0.25">
      <c r="A538" s="33" t="s">
        <v>136</v>
      </c>
      <c r="B538" t="s">
        <v>40</v>
      </c>
      <c r="C538">
        <v>30010</v>
      </c>
      <c r="D538" s="34" t="s">
        <v>721</v>
      </c>
      <c r="E538" s="35" t="s">
        <v>687</v>
      </c>
    </row>
    <row r="539" spans="1:5" x14ac:dyDescent="0.25">
      <c r="A539" s="33" t="s">
        <v>136</v>
      </c>
      <c r="B539" t="s">
        <v>8</v>
      </c>
      <c r="C539">
        <v>1507</v>
      </c>
      <c r="D539" s="34" t="s">
        <v>721</v>
      </c>
      <c r="E539" s="35" t="s">
        <v>687</v>
      </c>
    </row>
    <row r="540" spans="1:5" x14ac:dyDescent="0.25">
      <c r="A540" s="33" t="s">
        <v>136</v>
      </c>
      <c r="B540" t="s">
        <v>8</v>
      </c>
      <c r="C540">
        <v>5</v>
      </c>
      <c r="D540" s="34" t="s">
        <v>721</v>
      </c>
      <c r="E540" s="35" t="s">
        <v>687</v>
      </c>
    </row>
    <row r="541" spans="1:5" x14ac:dyDescent="0.25">
      <c r="A541" s="33" t="s">
        <v>136</v>
      </c>
      <c r="B541" t="s">
        <v>40</v>
      </c>
      <c r="C541">
        <v>10000</v>
      </c>
      <c r="D541" s="34" t="s">
        <v>721</v>
      </c>
      <c r="E541" s="35" t="s">
        <v>687</v>
      </c>
    </row>
    <row r="542" spans="1:5" x14ac:dyDescent="0.25">
      <c r="A542" s="33" t="s">
        <v>136</v>
      </c>
      <c r="B542" t="s">
        <v>93</v>
      </c>
      <c r="C542">
        <v>18</v>
      </c>
      <c r="D542" s="34" t="s">
        <v>721</v>
      </c>
      <c r="E542" s="35" t="s">
        <v>687</v>
      </c>
    </row>
    <row r="543" spans="1:5" x14ac:dyDescent="0.25">
      <c r="A543" s="33" t="s">
        <v>136</v>
      </c>
      <c r="B543" t="s">
        <v>92</v>
      </c>
      <c r="C543">
        <v>250</v>
      </c>
      <c r="D543" s="34" t="s">
        <v>721</v>
      </c>
      <c r="E543" s="35" t="s">
        <v>687</v>
      </c>
    </row>
    <row r="544" spans="1:5" x14ac:dyDescent="0.25">
      <c r="A544" s="33" t="s">
        <v>136</v>
      </c>
      <c r="B544" t="s">
        <v>24</v>
      </c>
      <c r="C544">
        <v>500</v>
      </c>
      <c r="D544" s="34" t="s">
        <v>721</v>
      </c>
      <c r="E544" s="35" t="s">
        <v>687</v>
      </c>
    </row>
    <row r="545" spans="1:5" x14ac:dyDescent="0.25">
      <c r="A545" s="33" t="s">
        <v>136</v>
      </c>
      <c r="B545" t="s">
        <v>84</v>
      </c>
      <c r="C545">
        <v>100</v>
      </c>
      <c r="D545" s="34" t="s">
        <v>721</v>
      </c>
      <c r="E545" s="35" t="s">
        <v>687</v>
      </c>
    </row>
    <row r="546" spans="1:5" x14ac:dyDescent="0.25">
      <c r="A546" s="33" t="s">
        <v>136</v>
      </c>
      <c r="B546" t="s">
        <v>85</v>
      </c>
      <c r="C546">
        <v>5</v>
      </c>
      <c r="D546" s="34" t="s">
        <v>721</v>
      </c>
      <c r="E546" s="35" t="s">
        <v>687</v>
      </c>
    </row>
    <row r="547" spans="1:5" x14ac:dyDescent="0.25">
      <c r="A547" s="33" t="s">
        <v>136</v>
      </c>
      <c r="B547" t="s">
        <v>40</v>
      </c>
      <c r="C547">
        <v>8927.58</v>
      </c>
      <c r="D547" s="34" t="s">
        <v>721</v>
      </c>
      <c r="E547" s="35" t="s">
        <v>687</v>
      </c>
    </row>
    <row r="548" spans="1:5" x14ac:dyDescent="0.25">
      <c r="A548" s="33" t="s">
        <v>136</v>
      </c>
      <c r="B548" t="s">
        <v>85</v>
      </c>
      <c r="C548">
        <v>10</v>
      </c>
      <c r="D548" s="34" t="s">
        <v>721</v>
      </c>
      <c r="E548" s="35" t="s">
        <v>687</v>
      </c>
    </row>
    <row r="549" spans="1:5" x14ac:dyDescent="0.25">
      <c r="A549" s="33" t="s">
        <v>136</v>
      </c>
      <c r="B549" t="s">
        <v>87</v>
      </c>
      <c r="C549">
        <v>1505</v>
      </c>
      <c r="D549" s="34" t="s">
        <v>721</v>
      </c>
      <c r="E549" s="35" t="s">
        <v>687</v>
      </c>
    </row>
    <row r="550" spans="1:5" x14ac:dyDescent="0.25">
      <c r="A550" s="33" t="s">
        <v>136</v>
      </c>
      <c r="B550" t="s">
        <v>87</v>
      </c>
      <c r="C550">
        <v>1005</v>
      </c>
      <c r="D550" s="34" t="s">
        <v>721</v>
      </c>
      <c r="E550" s="35" t="s">
        <v>687</v>
      </c>
    </row>
    <row r="551" spans="1:5" x14ac:dyDescent="0.25">
      <c r="A551" s="33" t="s">
        <v>136</v>
      </c>
      <c r="B551" t="s">
        <v>59</v>
      </c>
      <c r="C551">
        <v>-2500</v>
      </c>
      <c r="D551" s="34" t="s">
        <v>721</v>
      </c>
      <c r="E551" s="35" t="s">
        <v>687</v>
      </c>
    </row>
    <row r="552" spans="1:5" x14ac:dyDescent="0.25">
      <c r="A552" s="33" t="s">
        <v>136</v>
      </c>
      <c r="B552" t="s">
        <v>72</v>
      </c>
      <c r="C552">
        <v>2500</v>
      </c>
      <c r="D552" s="34" t="s">
        <v>721</v>
      </c>
      <c r="E552" s="35" t="s">
        <v>687</v>
      </c>
    </row>
    <row r="553" spans="1:5" x14ac:dyDescent="0.25">
      <c r="A553" s="33" t="s">
        <v>136</v>
      </c>
      <c r="B553" t="s">
        <v>13</v>
      </c>
      <c r="C553">
        <v>611.00999999999499</v>
      </c>
      <c r="D553" s="34" t="s">
        <v>721</v>
      </c>
      <c r="E553" s="35" t="s">
        <v>687</v>
      </c>
    </row>
    <row r="554" spans="1:5" x14ac:dyDescent="0.25">
      <c r="A554" s="33" t="s">
        <v>137</v>
      </c>
      <c r="B554" t="s">
        <v>57</v>
      </c>
      <c r="C554">
        <v>1000</v>
      </c>
      <c r="D554" s="34" t="s">
        <v>721</v>
      </c>
      <c r="E554" s="35" t="s">
        <v>724</v>
      </c>
    </row>
    <row r="555" spans="1:5" x14ac:dyDescent="0.25">
      <c r="A555" s="33" t="s">
        <v>137</v>
      </c>
      <c r="B555" t="s">
        <v>85</v>
      </c>
      <c r="C555">
        <v>10</v>
      </c>
      <c r="D555" s="34" t="s">
        <v>721</v>
      </c>
      <c r="E555" s="35" t="s">
        <v>724</v>
      </c>
    </row>
    <row r="556" spans="1:5" x14ac:dyDescent="0.25">
      <c r="A556" s="33" t="s">
        <v>137</v>
      </c>
      <c r="B556" t="s">
        <v>87</v>
      </c>
      <c r="C556">
        <v>6010</v>
      </c>
      <c r="D556" s="34" t="s">
        <v>721</v>
      </c>
      <c r="E556" s="35" t="s">
        <v>724</v>
      </c>
    </row>
    <row r="557" spans="1:5" x14ac:dyDescent="0.25">
      <c r="A557" s="33" t="s">
        <v>137</v>
      </c>
      <c r="B557" t="s">
        <v>87</v>
      </c>
      <c r="C557">
        <v>1520</v>
      </c>
      <c r="D557" s="34" t="s">
        <v>721</v>
      </c>
      <c r="E557" s="35" t="s">
        <v>724</v>
      </c>
    </row>
    <row r="558" spans="1:5" x14ac:dyDescent="0.25">
      <c r="A558" s="33" t="s">
        <v>137</v>
      </c>
      <c r="B558" t="s">
        <v>78</v>
      </c>
      <c r="C558">
        <v>2500</v>
      </c>
      <c r="D558" s="34" t="s">
        <v>721</v>
      </c>
      <c r="E558" s="35" t="s">
        <v>724</v>
      </c>
    </row>
    <row r="559" spans="1:5" x14ac:dyDescent="0.25">
      <c r="A559" s="33" t="s">
        <v>137</v>
      </c>
      <c r="B559" t="s">
        <v>87</v>
      </c>
      <c r="C559">
        <v>3010</v>
      </c>
      <c r="D559" s="34" t="s">
        <v>721</v>
      </c>
      <c r="E559" s="35" t="s">
        <v>724</v>
      </c>
    </row>
    <row r="560" spans="1:5" x14ac:dyDescent="0.25">
      <c r="A560" s="33" t="s">
        <v>137</v>
      </c>
      <c r="B560" t="s">
        <v>59</v>
      </c>
      <c r="C560">
        <v>-6000</v>
      </c>
      <c r="D560" s="34" t="s">
        <v>721</v>
      </c>
      <c r="E560" s="35" t="s">
        <v>724</v>
      </c>
    </row>
    <row r="561" spans="1:5" x14ac:dyDescent="0.25">
      <c r="A561" s="33" t="s">
        <v>137</v>
      </c>
      <c r="B561" t="s">
        <v>72</v>
      </c>
      <c r="C561">
        <v>6000</v>
      </c>
      <c r="D561" s="34" t="s">
        <v>721</v>
      </c>
      <c r="E561" s="35" t="s">
        <v>724</v>
      </c>
    </row>
    <row r="562" spans="1:5" x14ac:dyDescent="0.25">
      <c r="A562" s="33" t="s">
        <v>137</v>
      </c>
      <c r="B562" t="s">
        <v>36</v>
      </c>
      <c r="C562">
        <v>800</v>
      </c>
      <c r="D562" s="34" t="s">
        <v>721</v>
      </c>
      <c r="E562" s="35" t="s">
        <v>724</v>
      </c>
    </row>
    <row r="563" spans="1:5" x14ac:dyDescent="0.25">
      <c r="A563" s="33" t="s">
        <v>137</v>
      </c>
      <c r="B563" t="s">
        <v>57</v>
      </c>
      <c r="C563">
        <v>510</v>
      </c>
      <c r="D563" s="34" t="s">
        <v>721</v>
      </c>
      <c r="E563" s="35" t="s">
        <v>724</v>
      </c>
    </row>
    <row r="564" spans="1:5" x14ac:dyDescent="0.25">
      <c r="A564" s="33" t="s">
        <v>137</v>
      </c>
      <c r="B564" t="s">
        <v>59</v>
      </c>
      <c r="C564">
        <v>-4500</v>
      </c>
      <c r="D564" s="34" t="s">
        <v>721</v>
      </c>
      <c r="E564" s="35" t="s">
        <v>724</v>
      </c>
    </row>
    <row r="565" spans="1:5" x14ac:dyDescent="0.25">
      <c r="A565" s="33" t="s">
        <v>137</v>
      </c>
      <c r="B565" t="s">
        <v>72</v>
      </c>
      <c r="C565">
        <v>4500</v>
      </c>
      <c r="D565" s="34" t="s">
        <v>721</v>
      </c>
      <c r="E565" s="35" t="s">
        <v>724</v>
      </c>
    </row>
    <row r="566" spans="1:5" x14ac:dyDescent="0.25">
      <c r="A566" s="33" t="s">
        <v>137</v>
      </c>
      <c r="B566" t="s">
        <v>87</v>
      </c>
      <c r="C566">
        <v>3010</v>
      </c>
      <c r="D566" s="34" t="s">
        <v>721</v>
      </c>
      <c r="E566" s="35" t="s">
        <v>724</v>
      </c>
    </row>
    <row r="567" spans="1:5" x14ac:dyDescent="0.25">
      <c r="A567" s="33" t="s">
        <v>137</v>
      </c>
      <c r="B567" t="s">
        <v>59</v>
      </c>
      <c r="C567">
        <v>-3000</v>
      </c>
      <c r="D567" s="34" t="s">
        <v>721</v>
      </c>
      <c r="E567" s="35" t="s">
        <v>724</v>
      </c>
    </row>
    <row r="568" spans="1:5" x14ac:dyDescent="0.25">
      <c r="A568" s="33" t="s">
        <v>137</v>
      </c>
      <c r="B568" t="s">
        <v>72</v>
      </c>
      <c r="C568">
        <v>3000</v>
      </c>
      <c r="D568" s="34" t="s">
        <v>721</v>
      </c>
      <c r="E568" s="35" t="s">
        <v>724</v>
      </c>
    </row>
    <row r="569" spans="1:5" x14ac:dyDescent="0.25">
      <c r="A569" s="33" t="s">
        <v>137</v>
      </c>
      <c r="B569" t="s">
        <v>87</v>
      </c>
      <c r="C569">
        <v>3510</v>
      </c>
      <c r="D569" s="34" t="s">
        <v>721</v>
      </c>
      <c r="E569" s="35" t="s">
        <v>724</v>
      </c>
    </row>
    <row r="570" spans="1:5" x14ac:dyDescent="0.25">
      <c r="A570" s="33" t="s">
        <v>137</v>
      </c>
      <c r="B570" t="s">
        <v>59</v>
      </c>
      <c r="C570">
        <v>-3500</v>
      </c>
      <c r="D570" s="34" t="s">
        <v>721</v>
      </c>
      <c r="E570" s="35" t="s">
        <v>724</v>
      </c>
    </row>
    <row r="571" spans="1:5" x14ac:dyDescent="0.25">
      <c r="A571" s="33" t="s">
        <v>137</v>
      </c>
      <c r="B571" t="s">
        <v>72</v>
      </c>
      <c r="C571">
        <v>3500</v>
      </c>
      <c r="D571" s="34" t="s">
        <v>721</v>
      </c>
      <c r="E571" s="35" t="s">
        <v>724</v>
      </c>
    </row>
    <row r="572" spans="1:5" x14ac:dyDescent="0.25">
      <c r="A572" s="33" t="s">
        <v>137</v>
      </c>
      <c r="B572" t="s">
        <v>36</v>
      </c>
      <c r="C572">
        <v>100</v>
      </c>
      <c r="D572" s="34" t="s">
        <v>721</v>
      </c>
      <c r="E572" s="35" t="s">
        <v>724</v>
      </c>
    </row>
    <row r="573" spans="1:5" x14ac:dyDescent="0.25">
      <c r="A573" s="33" t="s">
        <v>137</v>
      </c>
      <c r="B573" t="s">
        <v>36</v>
      </c>
      <c r="C573">
        <v>400</v>
      </c>
      <c r="D573" s="34" t="s">
        <v>721</v>
      </c>
      <c r="E573" s="35" t="s">
        <v>724</v>
      </c>
    </row>
    <row r="574" spans="1:5" x14ac:dyDescent="0.25">
      <c r="A574" s="33" t="s">
        <v>137</v>
      </c>
      <c r="B574" t="s">
        <v>87</v>
      </c>
      <c r="C574">
        <v>1000</v>
      </c>
      <c r="D574" s="34" t="s">
        <v>721</v>
      </c>
      <c r="E574" s="35" t="s">
        <v>724</v>
      </c>
    </row>
    <row r="575" spans="1:5" x14ac:dyDescent="0.25">
      <c r="A575" s="33" t="s">
        <v>137</v>
      </c>
      <c r="B575" t="s">
        <v>65</v>
      </c>
      <c r="C575">
        <v>2510</v>
      </c>
      <c r="D575" s="34" t="s">
        <v>721</v>
      </c>
      <c r="E575" s="35" t="s">
        <v>724</v>
      </c>
    </row>
    <row r="576" spans="1:5" x14ac:dyDescent="0.25">
      <c r="A576" s="33" t="s">
        <v>137</v>
      </c>
      <c r="B576" t="s">
        <v>72</v>
      </c>
      <c r="C576">
        <v>2000</v>
      </c>
      <c r="D576" s="34" t="s">
        <v>721</v>
      </c>
      <c r="E576" s="35" t="s">
        <v>724</v>
      </c>
    </row>
    <row r="577" spans="1:5" x14ac:dyDescent="0.25">
      <c r="A577" s="33" t="s">
        <v>137</v>
      </c>
      <c r="B577" t="s">
        <v>13</v>
      </c>
      <c r="C577">
        <v>41.42</v>
      </c>
      <c r="D577" s="34" t="s">
        <v>721</v>
      </c>
      <c r="E577" s="35" t="s">
        <v>724</v>
      </c>
    </row>
    <row r="578" spans="1:5" x14ac:dyDescent="0.25">
      <c r="A578" s="33" t="s">
        <v>137</v>
      </c>
      <c r="B578" t="s">
        <v>72</v>
      </c>
      <c r="C578">
        <v>2500</v>
      </c>
      <c r="D578" s="34" t="s">
        <v>721</v>
      </c>
      <c r="E578" s="35" t="s">
        <v>724</v>
      </c>
    </row>
    <row r="579" spans="1:5" x14ac:dyDescent="0.25">
      <c r="A579" s="33" t="s">
        <v>137</v>
      </c>
      <c r="B579" t="s">
        <v>59</v>
      </c>
      <c r="C579">
        <v>-2000</v>
      </c>
      <c r="D579" s="34" t="s">
        <v>721</v>
      </c>
      <c r="E579" s="35" t="s">
        <v>724</v>
      </c>
    </row>
    <row r="580" spans="1:5" x14ac:dyDescent="0.25">
      <c r="A580" s="33" t="s">
        <v>137</v>
      </c>
      <c r="B580" t="s">
        <v>72</v>
      </c>
      <c r="C580">
        <v>2000</v>
      </c>
      <c r="D580" s="34" t="s">
        <v>721</v>
      </c>
      <c r="E580" s="35" t="s">
        <v>724</v>
      </c>
    </row>
    <row r="581" spans="1:5" x14ac:dyDescent="0.25">
      <c r="A581" s="33" t="s">
        <v>138</v>
      </c>
      <c r="B581" t="s">
        <v>23</v>
      </c>
      <c r="C581">
        <v>1195</v>
      </c>
      <c r="D581" s="34" t="s">
        <v>721</v>
      </c>
      <c r="E581" s="35" t="s">
        <v>725</v>
      </c>
    </row>
    <row r="582" spans="1:5" x14ac:dyDescent="0.25">
      <c r="A582" s="33" t="s">
        <v>138</v>
      </c>
      <c r="B582" t="s">
        <v>15</v>
      </c>
      <c r="C582">
        <v>860</v>
      </c>
      <c r="D582" s="34" t="s">
        <v>721</v>
      </c>
      <c r="E582" s="35" t="s">
        <v>725</v>
      </c>
    </row>
    <row r="583" spans="1:5" x14ac:dyDescent="0.25">
      <c r="A583" s="33" t="s">
        <v>138</v>
      </c>
      <c r="B583" t="s">
        <v>36</v>
      </c>
      <c r="C583">
        <v>610</v>
      </c>
      <c r="D583" s="34" t="s">
        <v>721</v>
      </c>
      <c r="E583" s="35" t="s">
        <v>725</v>
      </c>
    </row>
    <row r="584" spans="1:5" x14ac:dyDescent="0.25">
      <c r="A584" s="33" t="s">
        <v>138</v>
      </c>
      <c r="B584" t="s">
        <v>59</v>
      </c>
      <c r="C584">
        <v>400</v>
      </c>
      <c r="D584" s="34" t="s">
        <v>721</v>
      </c>
      <c r="E584" s="35" t="s">
        <v>725</v>
      </c>
    </row>
    <row r="585" spans="1:5" x14ac:dyDescent="0.25">
      <c r="A585" s="33" t="s">
        <v>138</v>
      </c>
      <c r="B585" t="s">
        <v>36</v>
      </c>
      <c r="C585">
        <v>2580</v>
      </c>
      <c r="D585" s="34" t="s">
        <v>721</v>
      </c>
      <c r="E585" s="35" t="s">
        <v>725</v>
      </c>
    </row>
    <row r="586" spans="1:5" x14ac:dyDescent="0.25">
      <c r="A586" s="33" t="s">
        <v>138</v>
      </c>
      <c r="B586" t="s">
        <v>31</v>
      </c>
      <c r="C586">
        <v>370</v>
      </c>
      <c r="D586" s="34" t="s">
        <v>721</v>
      </c>
      <c r="E586" s="35" t="s">
        <v>725</v>
      </c>
    </row>
    <row r="587" spans="1:5" x14ac:dyDescent="0.25">
      <c r="A587" s="33" t="s">
        <v>138</v>
      </c>
      <c r="B587" t="s">
        <v>36</v>
      </c>
      <c r="C587">
        <v>300</v>
      </c>
      <c r="D587" s="34" t="s">
        <v>721</v>
      </c>
      <c r="E587" s="35" t="s">
        <v>725</v>
      </c>
    </row>
    <row r="588" spans="1:5" x14ac:dyDescent="0.25">
      <c r="A588" s="33" t="s">
        <v>138</v>
      </c>
      <c r="B588" t="s">
        <v>36</v>
      </c>
      <c r="C588">
        <v>1000</v>
      </c>
      <c r="D588" s="34" t="s">
        <v>721</v>
      </c>
      <c r="E588" s="35" t="s">
        <v>725</v>
      </c>
    </row>
    <row r="589" spans="1:5" x14ac:dyDescent="0.25">
      <c r="A589" s="33" t="s">
        <v>138</v>
      </c>
      <c r="B589" t="s">
        <v>36</v>
      </c>
      <c r="C589">
        <v>500</v>
      </c>
      <c r="D589" s="34" t="s">
        <v>721</v>
      </c>
      <c r="E589" s="35" t="s">
        <v>725</v>
      </c>
    </row>
    <row r="590" spans="1:5" x14ac:dyDescent="0.25">
      <c r="A590" s="33" t="s">
        <v>138</v>
      </c>
      <c r="B590" t="s">
        <v>36</v>
      </c>
      <c r="C590">
        <v>1010</v>
      </c>
      <c r="D590" s="34" t="s">
        <v>721</v>
      </c>
      <c r="E590" s="35" t="s">
        <v>725</v>
      </c>
    </row>
    <row r="591" spans="1:5" x14ac:dyDescent="0.25">
      <c r="A591" s="33" t="s">
        <v>138</v>
      </c>
      <c r="B591" t="s">
        <v>92</v>
      </c>
      <c r="C591">
        <v>11000</v>
      </c>
      <c r="D591" s="34" t="s">
        <v>721</v>
      </c>
      <c r="E591" s="35" t="s">
        <v>725</v>
      </c>
    </row>
    <row r="592" spans="1:5" x14ac:dyDescent="0.25">
      <c r="A592" s="33" t="s">
        <v>138</v>
      </c>
      <c r="B592" t="s">
        <v>36</v>
      </c>
      <c r="C592">
        <v>200</v>
      </c>
      <c r="D592" s="34" t="s">
        <v>721</v>
      </c>
      <c r="E592" s="35" t="s">
        <v>725</v>
      </c>
    </row>
    <row r="593" spans="1:5" x14ac:dyDescent="0.25">
      <c r="A593" s="33" t="s">
        <v>138</v>
      </c>
      <c r="B593" t="s">
        <v>59</v>
      </c>
      <c r="C593">
        <v>-11000</v>
      </c>
      <c r="D593" s="34" t="s">
        <v>721</v>
      </c>
      <c r="E593" s="35" t="s">
        <v>725</v>
      </c>
    </row>
    <row r="594" spans="1:5" x14ac:dyDescent="0.25">
      <c r="A594" s="33" t="s">
        <v>138</v>
      </c>
      <c r="B594" t="s">
        <v>72</v>
      </c>
      <c r="C594">
        <v>10000</v>
      </c>
      <c r="D594" s="34" t="s">
        <v>721</v>
      </c>
      <c r="E594" s="35" t="s">
        <v>725</v>
      </c>
    </row>
    <row r="595" spans="1:5" x14ac:dyDescent="0.25">
      <c r="A595" s="33" t="s">
        <v>138</v>
      </c>
      <c r="B595" t="s">
        <v>13</v>
      </c>
      <c r="C595">
        <v>366.84</v>
      </c>
      <c r="D595" s="34" t="s">
        <v>721</v>
      </c>
      <c r="E595" s="35" t="s">
        <v>725</v>
      </c>
    </row>
    <row r="596" spans="1:5" x14ac:dyDescent="0.25">
      <c r="A596" s="33" t="s">
        <v>139</v>
      </c>
      <c r="B596" t="s">
        <v>84</v>
      </c>
      <c r="C596">
        <v>1000</v>
      </c>
      <c r="D596" s="34" t="s">
        <v>721</v>
      </c>
      <c r="E596" s="35" t="s">
        <v>726</v>
      </c>
    </row>
    <row r="597" spans="1:5" x14ac:dyDescent="0.25">
      <c r="A597" s="33" t="s">
        <v>139</v>
      </c>
      <c r="B597" t="s">
        <v>36</v>
      </c>
      <c r="C597">
        <v>1000</v>
      </c>
      <c r="D597" s="34" t="s">
        <v>721</v>
      </c>
      <c r="E597" s="35" t="s">
        <v>726</v>
      </c>
    </row>
    <row r="598" spans="1:5" x14ac:dyDescent="0.25">
      <c r="A598" s="33" t="s">
        <v>139</v>
      </c>
      <c r="B598" t="s">
        <v>25</v>
      </c>
      <c r="C598">
        <v>2000</v>
      </c>
      <c r="D598" s="34" t="s">
        <v>721</v>
      </c>
      <c r="E598" s="35" t="s">
        <v>726</v>
      </c>
    </row>
    <row r="599" spans="1:5" x14ac:dyDescent="0.25">
      <c r="A599" s="33" t="s">
        <v>139</v>
      </c>
      <c r="B599" t="s">
        <v>57</v>
      </c>
      <c r="C599">
        <v>1422.93</v>
      </c>
      <c r="D599" s="34" t="s">
        <v>721</v>
      </c>
      <c r="E599" s="35" t="s">
        <v>726</v>
      </c>
    </row>
    <row r="600" spans="1:5" x14ac:dyDescent="0.25">
      <c r="A600" s="33" t="s">
        <v>139</v>
      </c>
      <c r="B600" t="s">
        <v>48</v>
      </c>
      <c r="C600">
        <v>1500</v>
      </c>
      <c r="D600" s="34" t="s">
        <v>721</v>
      </c>
      <c r="E600" s="35" t="s">
        <v>726</v>
      </c>
    </row>
    <row r="601" spans="1:5" x14ac:dyDescent="0.25">
      <c r="A601" s="33" t="s">
        <v>139</v>
      </c>
      <c r="B601" t="s">
        <v>78</v>
      </c>
      <c r="C601">
        <v>1500</v>
      </c>
      <c r="D601" s="34" t="s">
        <v>721</v>
      </c>
      <c r="E601" s="35" t="s">
        <v>726</v>
      </c>
    </row>
    <row r="602" spans="1:5" x14ac:dyDescent="0.25">
      <c r="A602" s="33" t="s">
        <v>139</v>
      </c>
      <c r="B602" t="s">
        <v>84</v>
      </c>
      <c r="C602">
        <v>-100</v>
      </c>
      <c r="D602" s="34" t="s">
        <v>721</v>
      </c>
      <c r="E602" s="35" t="s">
        <v>726</v>
      </c>
    </row>
    <row r="603" spans="1:5" x14ac:dyDescent="0.25">
      <c r="A603" s="33" t="s">
        <v>139</v>
      </c>
      <c r="B603" t="s">
        <v>3</v>
      </c>
      <c r="C603">
        <v>500</v>
      </c>
      <c r="D603" s="34" t="s">
        <v>721</v>
      </c>
      <c r="E603" s="35" t="s">
        <v>726</v>
      </c>
    </row>
    <row r="604" spans="1:5" x14ac:dyDescent="0.25">
      <c r="A604" s="33" t="s">
        <v>139</v>
      </c>
      <c r="B604" t="s">
        <v>72</v>
      </c>
      <c r="C604">
        <v>8000</v>
      </c>
      <c r="D604" s="34" t="s">
        <v>721</v>
      </c>
      <c r="E604" s="35" t="s">
        <v>726</v>
      </c>
    </row>
    <row r="605" spans="1:5" x14ac:dyDescent="0.25">
      <c r="A605" s="33" t="s">
        <v>139</v>
      </c>
      <c r="B605" t="s">
        <v>13</v>
      </c>
      <c r="C605">
        <v>34.930000000000298</v>
      </c>
      <c r="D605" s="34" t="s">
        <v>721</v>
      </c>
      <c r="E605" s="35" t="s">
        <v>726</v>
      </c>
    </row>
    <row r="606" spans="1:5" x14ac:dyDescent="0.25">
      <c r="A606" s="33" t="s">
        <v>130</v>
      </c>
      <c r="B606" t="s">
        <v>82</v>
      </c>
      <c r="C606">
        <v>4596.83</v>
      </c>
      <c r="D606" s="34" t="s">
        <v>721</v>
      </c>
      <c r="E606" s="35" t="s">
        <v>727</v>
      </c>
    </row>
    <row r="607" spans="1:5" x14ac:dyDescent="0.25">
      <c r="A607" s="33" t="s">
        <v>130</v>
      </c>
      <c r="B607" t="s">
        <v>81</v>
      </c>
      <c r="C607">
        <v>5100.5200000000004</v>
      </c>
      <c r="D607" s="34" t="s">
        <v>721</v>
      </c>
      <c r="E607" s="35" t="s">
        <v>727</v>
      </c>
    </row>
    <row r="608" spans="1:5" x14ac:dyDescent="0.25">
      <c r="A608" s="33" t="s">
        <v>130</v>
      </c>
      <c r="B608" t="s">
        <v>8</v>
      </c>
      <c r="C608">
        <v>3514.08</v>
      </c>
      <c r="D608" s="34" t="s">
        <v>721</v>
      </c>
      <c r="E608" s="35" t="s">
        <v>727</v>
      </c>
    </row>
    <row r="609" spans="1:5" x14ac:dyDescent="0.25">
      <c r="A609" s="33" t="s">
        <v>130</v>
      </c>
      <c r="B609" t="s">
        <v>1</v>
      </c>
      <c r="C609">
        <v>5249.83</v>
      </c>
      <c r="D609" s="34" t="s">
        <v>721</v>
      </c>
      <c r="E609" s="35" t="s">
        <v>727</v>
      </c>
    </row>
    <row r="610" spans="1:5" x14ac:dyDescent="0.25">
      <c r="A610" s="33" t="s">
        <v>130</v>
      </c>
      <c r="B610" t="s">
        <v>1</v>
      </c>
      <c r="C610">
        <v>3377.15</v>
      </c>
      <c r="D610" s="34" t="s">
        <v>721</v>
      </c>
      <c r="E610" s="35" t="s">
        <v>727</v>
      </c>
    </row>
    <row r="611" spans="1:5" x14ac:dyDescent="0.25">
      <c r="A611" s="33" t="s">
        <v>130</v>
      </c>
      <c r="B611" t="s">
        <v>18</v>
      </c>
      <c r="C611">
        <v>1560</v>
      </c>
      <c r="D611" s="34" t="s">
        <v>721</v>
      </c>
      <c r="E611" s="35" t="s">
        <v>727</v>
      </c>
    </row>
    <row r="612" spans="1:5" x14ac:dyDescent="0.25">
      <c r="A612" s="33" t="s">
        <v>130</v>
      </c>
      <c r="B612" t="s">
        <v>44</v>
      </c>
      <c r="C612">
        <v>233</v>
      </c>
      <c r="D612" s="34" t="s">
        <v>721</v>
      </c>
      <c r="E612" s="35" t="s">
        <v>727</v>
      </c>
    </row>
    <row r="613" spans="1:5" x14ac:dyDescent="0.25">
      <c r="A613" s="33" t="s">
        <v>130</v>
      </c>
      <c r="B613" t="s">
        <v>19</v>
      </c>
      <c r="C613">
        <v>769</v>
      </c>
      <c r="D613" s="34" t="s">
        <v>721</v>
      </c>
      <c r="E613" s="35" t="s">
        <v>727</v>
      </c>
    </row>
    <row r="614" spans="1:5" x14ac:dyDescent="0.25">
      <c r="A614" s="33" t="s">
        <v>130</v>
      </c>
      <c r="B614" t="s">
        <v>84</v>
      </c>
      <c r="C614">
        <v>3132</v>
      </c>
      <c r="D614" s="34" t="s">
        <v>721</v>
      </c>
      <c r="E614" s="35" t="s">
        <v>727</v>
      </c>
    </row>
    <row r="615" spans="1:5" x14ac:dyDescent="0.25">
      <c r="A615" s="33" t="s">
        <v>130</v>
      </c>
      <c r="B615" t="s">
        <v>84</v>
      </c>
      <c r="C615">
        <v>5005</v>
      </c>
      <c r="D615" s="34" t="s">
        <v>721</v>
      </c>
      <c r="E615" s="35" t="s">
        <v>727</v>
      </c>
    </row>
    <row r="616" spans="1:5" x14ac:dyDescent="0.25">
      <c r="A616" s="33" t="s">
        <v>130</v>
      </c>
      <c r="B616" t="s">
        <v>92</v>
      </c>
      <c r="C616">
        <v>505</v>
      </c>
      <c r="D616" s="34" t="s">
        <v>721</v>
      </c>
      <c r="E616" s="35" t="s">
        <v>727</v>
      </c>
    </row>
    <row r="617" spans="1:5" x14ac:dyDescent="0.25">
      <c r="A617" s="33" t="s">
        <v>130</v>
      </c>
      <c r="B617" t="s">
        <v>4</v>
      </c>
      <c r="C617">
        <v>610</v>
      </c>
      <c r="D617" s="34" t="s">
        <v>721</v>
      </c>
      <c r="E617" s="35" t="s">
        <v>727</v>
      </c>
    </row>
    <row r="618" spans="1:5" x14ac:dyDescent="0.25">
      <c r="A618" s="33" t="s">
        <v>130</v>
      </c>
      <c r="B618" t="s">
        <v>92</v>
      </c>
      <c r="C618">
        <v>2000</v>
      </c>
      <c r="D618" s="34" t="s">
        <v>721</v>
      </c>
      <c r="E618" s="35" t="s">
        <v>727</v>
      </c>
    </row>
    <row r="619" spans="1:5" x14ac:dyDescent="0.25">
      <c r="A619" s="33" t="s">
        <v>130</v>
      </c>
      <c r="B619" t="s">
        <v>39</v>
      </c>
      <c r="C619">
        <v>900</v>
      </c>
      <c r="D619" s="34" t="s">
        <v>721</v>
      </c>
      <c r="E619" s="35" t="s">
        <v>727</v>
      </c>
    </row>
    <row r="620" spans="1:5" x14ac:dyDescent="0.25">
      <c r="A620" s="33" t="s">
        <v>130</v>
      </c>
      <c r="B620" t="s">
        <v>42</v>
      </c>
      <c r="C620">
        <v>704</v>
      </c>
      <c r="D620" s="34" t="s">
        <v>721</v>
      </c>
      <c r="E620" s="35" t="s">
        <v>727</v>
      </c>
    </row>
    <row r="621" spans="1:5" x14ac:dyDescent="0.25">
      <c r="A621" s="33" t="s">
        <v>130</v>
      </c>
      <c r="B621" t="s">
        <v>44</v>
      </c>
      <c r="C621">
        <v>110</v>
      </c>
      <c r="D621" s="34" t="s">
        <v>721</v>
      </c>
      <c r="E621" s="35" t="s">
        <v>727</v>
      </c>
    </row>
    <row r="622" spans="1:5" x14ac:dyDescent="0.25">
      <c r="A622" s="33" t="s">
        <v>130</v>
      </c>
      <c r="B622" t="s">
        <v>6</v>
      </c>
      <c r="C622">
        <v>1207.8</v>
      </c>
      <c r="D622" s="34" t="s">
        <v>721</v>
      </c>
      <c r="E622" s="35" t="s">
        <v>727</v>
      </c>
    </row>
    <row r="623" spans="1:5" x14ac:dyDescent="0.25">
      <c r="A623" s="33" t="s">
        <v>130</v>
      </c>
      <c r="B623" t="s">
        <v>71</v>
      </c>
      <c r="C623">
        <v>1621</v>
      </c>
      <c r="D623" s="34" t="s">
        <v>721</v>
      </c>
      <c r="E623" s="35" t="s">
        <v>727</v>
      </c>
    </row>
    <row r="624" spans="1:5" x14ac:dyDescent="0.25">
      <c r="A624" s="33" t="s">
        <v>130</v>
      </c>
      <c r="B624" t="s">
        <v>47</v>
      </c>
      <c r="C624">
        <v>5950</v>
      </c>
      <c r="D624" s="34" t="s">
        <v>721</v>
      </c>
      <c r="E624" s="35" t="s">
        <v>727</v>
      </c>
    </row>
    <row r="625" spans="1:5" x14ac:dyDescent="0.25">
      <c r="A625" s="33" t="s">
        <v>130</v>
      </c>
      <c r="B625" t="s">
        <v>84</v>
      </c>
      <c r="C625">
        <v>5.2</v>
      </c>
      <c r="D625" s="34" t="s">
        <v>721</v>
      </c>
      <c r="E625" s="35" t="s">
        <v>727</v>
      </c>
    </row>
    <row r="626" spans="1:5" x14ac:dyDescent="0.25">
      <c r="A626" s="33" t="s">
        <v>130</v>
      </c>
      <c r="B626" t="s">
        <v>2</v>
      </c>
      <c r="C626">
        <v>700</v>
      </c>
      <c r="D626" s="34" t="s">
        <v>721</v>
      </c>
      <c r="E626" s="35" t="s">
        <v>727</v>
      </c>
    </row>
    <row r="627" spans="1:5" x14ac:dyDescent="0.25">
      <c r="A627" s="33" t="s">
        <v>130</v>
      </c>
      <c r="B627" t="s">
        <v>53</v>
      </c>
      <c r="C627">
        <v>1000</v>
      </c>
      <c r="D627" s="34" t="s">
        <v>721</v>
      </c>
      <c r="E627" s="35" t="s">
        <v>727</v>
      </c>
    </row>
    <row r="628" spans="1:5" x14ac:dyDescent="0.25">
      <c r="A628" s="33" t="s">
        <v>130</v>
      </c>
      <c r="B628" t="s">
        <v>75</v>
      </c>
      <c r="C628">
        <v>1029.3800000000001</v>
      </c>
      <c r="D628" s="34" t="s">
        <v>721</v>
      </c>
      <c r="E628" s="35" t="s">
        <v>727</v>
      </c>
    </row>
    <row r="629" spans="1:5" x14ac:dyDescent="0.25">
      <c r="A629" s="33" t="s">
        <v>130</v>
      </c>
      <c r="B629" t="s">
        <v>86</v>
      </c>
      <c r="C629">
        <v>1399.73</v>
      </c>
      <c r="D629" s="34" t="s">
        <v>721</v>
      </c>
      <c r="E629" s="35" t="s">
        <v>727</v>
      </c>
    </row>
    <row r="630" spans="1:5" x14ac:dyDescent="0.25">
      <c r="A630" s="33" t="s">
        <v>130</v>
      </c>
      <c r="B630" t="s">
        <v>92</v>
      </c>
      <c r="C630">
        <v>2000</v>
      </c>
      <c r="D630" s="34" t="s">
        <v>721</v>
      </c>
      <c r="E630" s="35" t="s">
        <v>727</v>
      </c>
    </row>
    <row r="631" spans="1:5" x14ac:dyDescent="0.25">
      <c r="A631" s="33" t="s">
        <v>130</v>
      </c>
      <c r="B631" t="s">
        <v>87</v>
      </c>
      <c r="C631">
        <v>2005</v>
      </c>
      <c r="D631" s="34" t="s">
        <v>721</v>
      </c>
      <c r="E631" s="35" t="s">
        <v>727</v>
      </c>
    </row>
    <row r="632" spans="1:5" x14ac:dyDescent="0.25">
      <c r="A632" s="33" t="s">
        <v>130</v>
      </c>
      <c r="B632" t="s">
        <v>45</v>
      </c>
      <c r="C632">
        <v>660</v>
      </c>
      <c r="D632" s="34" t="s">
        <v>721</v>
      </c>
      <c r="E632" s="35" t="s">
        <v>727</v>
      </c>
    </row>
    <row r="633" spans="1:5" x14ac:dyDescent="0.25">
      <c r="A633" s="33" t="s">
        <v>130</v>
      </c>
      <c r="B633" t="s">
        <v>53</v>
      </c>
      <c r="C633">
        <v>4800</v>
      </c>
      <c r="D633" s="34" t="s">
        <v>721</v>
      </c>
      <c r="E633" s="35" t="s">
        <v>727</v>
      </c>
    </row>
    <row r="634" spans="1:5" x14ac:dyDescent="0.25">
      <c r="A634" s="33" t="s">
        <v>130</v>
      </c>
      <c r="B634" t="s">
        <v>92</v>
      </c>
      <c r="C634">
        <v>1000</v>
      </c>
      <c r="D634" s="34" t="s">
        <v>721</v>
      </c>
      <c r="E634" s="35" t="s">
        <v>727</v>
      </c>
    </row>
    <row r="635" spans="1:5" x14ac:dyDescent="0.25">
      <c r="A635" s="33" t="s">
        <v>130</v>
      </c>
      <c r="B635" t="s">
        <v>42</v>
      </c>
      <c r="C635">
        <v>704</v>
      </c>
      <c r="D635" s="34" t="s">
        <v>721</v>
      </c>
      <c r="E635" s="35" t="s">
        <v>727</v>
      </c>
    </row>
    <row r="636" spans="1:5" x14ac:dyDescent="0.25">
      <c r="A636" s="33" t="s">
        <v>130</v>
      </c>
      <c r="B636" t="s">
        <v>92</v>
      </c>
      <c r="C636">
        <v>1000</v>
      </c>
      <c r="D636" s="34" t="s">
        <v>721</v>
      </c>
      <c r="E636" s="35" t="s">
        <v>727</v>
      </c>
    </row>
    <row r="637" spans="1:5" x14ac:dyDescent="0.25">
      <c r="A637" s="33" t="s">
        <v>130</v>
      </c>
      <c r="B637" t="s">
        <v>20</v>
      </c>
      <c r="C637">
        <v>320</v>
      </c>
      <c r="D637" s="34" t="s">
        <v>721</v>
      </c>
      <c r="E637" s="35" t="s">
        <v>727</v>
      </c>
    </row>
    <row r="638" spans="1:5" x14ac:dyDescent="0.25">
      <c r="A638" s="33" t="s">
        <v>130</v>
      </c>
      <c r="B638" t="s">
        <v>10</v>
      </c>
      <c r="C638">
        <v>1083.25</v>
      </c>
      <c r="D638" s="34" t="s">
        <v>721</v>
      </c>
      <c r="E638" s="35" t="s">
        <v>727</v>
      </c>
    </row>
    <row r="639" spans="1:5" x14ac:dyDescent="0.25">
      <c r="A639" s="33" t="s">
        <v>130</v>
      </c>
      <c r="B639" t="s">
        <v>65</v>
      </c>
      <c r="C639">
        <v>1500</v>
      </c>
      <c r="D639" s="34" t="s">
        <v>721</v>
      </c>
      <c r="E639" s="35" t="s">
        <v>727</v>
      </c>
    </row>
    <row r="640" spans="1:5" x14ac:dyDescent="0.25">
      <c r="A640" s="33" t="s">
        <v>130</v>
      </c>
      <c r="B640" t="s">
        <v>80</v>
      </c>
      <c r="C640">
        <v>3075.04</v>
      </c>
      <c r="D640" s="34" t="s">
        <v>721</v>
      </c>
      <c r="E640" s="35" t="s">
        <v>727</v>
      </c>
    </row>
    <row r="641" spans="1:5" x14ac:dyDescent="0.25">
      <c r="A641" s="33" t="s">
        <v>130</v>
      </c>
      <c r="B641" t="s">
        <v>81</v>
      </c>
      <c r="C641">
        <v>2748.84</v>
      </c>
      <c r="D641" s="34" t="s">
        <v>721</v>
      </c>
      <c r="E641" s="35" t="s">
        <v>727</v>
      </c>
    </row>
    <row r="642" spans="1:5" x14ac:dyDescent="0.25">
      <c r="A642" s="33" t="s">
        <v>130</v>
      </c>
      <c r="B642" t="s">
        <v>85</v>
      </c>
      <c r="C642">
        <v>5</v>
      </c>
      <c r="D642" s="34" t="s">
        <v>721</v>
      </c>
      <c r="E642" s="35" t="s">
        <v>727</v>
      </c>
    </row>
    <row r="643" spans="1:5" x14ac:dyDescent="0.25">
      <c r="A643" s="33" t="s">
        <v>130</v>
      </c>
      <c r="B643" t="s">
        <v>59</v>
      </c>
      <c r="C643">
        <v>-1083.25</v>
      </c>
      <c r="D643" s="34" t="s">
        <v>721</v>
      </c>
      <c r="E643" s="35" t="s">
        <v>727</v>
      </c>
    </row>
    <row r="644" spans="1:5" x14ac:dyDescent="0.25">
      <c r="A644" s="33" t="s">
        <v>130</v>
      </c>
      <c r="B644" t="s">
        <v>8</v>
      </c>
      <c r="C644">
        <v>0.37</v>
      </c>
      <c r="D644" s="34" t="s">
        <v>721</v>
      </c>
      <c r="E644" s="35" t="s">
        <v>727</v>
      </c>
    </row>
    <row r="645" spans="1:5" x14ac:dyDescent="0.25">
      <c r="A645" s="33" t="s">
        <v>130</v>
      </c>
      <c r="B645" t="s">
        <v>16</v>
      </c>
      <c r="C645">
        <v>980</v>
      </c>
      <c r="D645" s="34" t="s">
        <v>721</v>
      </c>
      <c r="E645" s="35" t="s">
        <v>727</v>
      </c>
    </row>
    <row r="646" spans="1:5" x14ac:dyDescent="0.25">
      <c r="A646" s="33" t="s">
        <v>130</v>
      </c>
      <c r="B646" t="s">
        <v>73</v>
      </c>
      <c r="C646">
        <v>330.23</v>
      </c>
      <c r="D646" s="34" t="s">
        <v>721</v>
      </c>
      <c r="E646" s="35" t="s">
        <v>727</v>
      </c>
    </row>
    <row r="647" spans="1:5" x14ac:dyDescent="0.25">
      <c r="A647" s="33" t="s">
        <v>130</v>
      </c>
      <c r="B647" t="s">
        <v>78</v>
      </c>
      <c r="C647">
        <v>1000</v>
      </c>
      <c r="D647" s="34" t="s">
        <v>721</v>
      </c>
      <c r="E647" s="35" t="s">
        <v>727</v>
      </c>
    </row>
    <row r="648" spans="1:5" x14ac:dyDescent="0.25">
      <c r="A648" s="33" t="s">
        <v>130</v>
      </c>
      <c r="B648" t="s">
        <v>65</v>
      </c>
      <c r="C648">
        <v>2000</v>
      </c>
      <c r="D648" s="34" t="s">
        <v>721</v>
      </c>
      <c r="E648" s="35" t="s">
        <v>727</v>
      </c>
    </row>
    <row r="649" spans="1:5" x14ac:dyDescent="0.25">
      <c r="A649" s="33" t="s">
        <v>130</v>
      </c>
      <c r="B649" t="s">
        <v>72</v>
      </c>
      <c r="C649">
        <v>2000</v>
      </c>
      <c r="D649" s="34" t="s">
        <v>721</v>
      </c>
      <c r="E649" s="35" t="s">
        <v>727</v>
      </c>
    </row>
    <row r="650" spans="1:5" x14ac:dyDescent="0.25">
      <c r="A650" s="33" t="s">
        <v>130</v>
      </c>
      <c r="B650" t="s">
        <v>13</v>
      </c>
      <c r="C650">
        <v>533.91999999999996</v>
      </c>
      <c r="D650" s="34" t="s">
        <v>721</v>
      </c>
      <c r="E650" s="35" t="s">
        <v>727</v>
      </c>
    </row>
    <row r="651" spans="1:5" x14ac:dyDescent="0.25">
      <c r="A651" s="33" t="s">
        <v>132</v>
      </c>
      <c r="B651" t="s">
        <v>35</v>
      </c>
      <c r="C651">
        <v>1000</v>
      </c>
      <c r="D651" s="34" t="s">
        <v>721</v>
      </c>
      <c r="E651" s="35" t="s">
        <v>728</v>
      </c>
    </row>
    <row r="652" spans="1:5" x14ac:dyDescent="0.25">
      <c r="A652" s="33" t="s">
        <v>132</v>
      </c>
      <c r="B652" t="s">
        <v>36</v>
      </c>
      <c r="C652">
        <v>2000</v>
      </c>
      <c r="D652" s="34" t="s">
        <v>721</v>
      </c>
      <c r="E652" s="35" t="s">
        <v>728</v>
      </c>
    </row>
    <row r="653" spans="1:5" x14ac:dyDescent="0.25">
      <c r="A653" s="33" t="s">
        <v>132</v>
      </c>
      <c r="B653" t="s">
        <v>3</v>
      </c>
      <c r="C653">
        <v>3675</v>
      </c>
      <c r="D653" s="34" t="s">
        <v>721</v>
      </c>
      <c r="E653" s="35" t="s">
        <v>728</v>
      </c>
    </row>
    <row r="654" spans="1:5" x14ac:dyDescent="0.25">
      <c r="A654" s="33" t="s">
        <v>132</v>
      </c>
      <c r="B654" t="s">
        <v>64</v>
      </c>
      <c r="C654">
        <v>134</v>
      </c>
      <c r="D654" s="34" t="s">
        <v>721</v>
      </c>
      <c r="E654" s="35" t="s">
        <v>728</v>
      </c>
    </row>
    <row r="655" spans="1:5" x14ac:dyDescent="0.25">
      <c r="A655" s="33" t="s">
        <v>132</v>
      </c>
      <c r="B655" t="s">
        <v>36</v>
      </c>
      <c r="C655">
        <v>999</v>
      </c>
      <c r="D655" s="34" t="s">
        <v>721</v>
      </c>
      <c r="E655" s="35" t="s">
        <v>728</v>
      </c>
    </row>
    <row r="656" spans="1:5" x14ac:dyDescent="0.25">
      <c r="A656" s="33" t="s">
        <v>132</v>
      </c>
      <c r="B656" t="s">
        <v>33</v>
      </c>
      <c r="C656">
        <v>1036.76</v>
      </c>
      <c r="D656" s="34" t="s">
        <v>721</v>
      </c>
      <c r="E656" s="35" t="s">
        <v>728</v>
      </c>
    </row>
    <row r="657" spans="1:5" x14ac:dyDescent="0.25">
      <c r="A657" s="33" t="s">
        <v>132</v>
      </c>
      <c r="B657" t="s">
        <v>85</v>
      </c>
      <c r="C657">
        <v>5</v>
      </c>
      <c r="D657" s="34" t="s">
        <v>721</v>
      </c>
      <c r="E657" s="35" t="s">
        <v>728</v>
      </c>
    </row>
    <row r="658" spans="1:5" x14ac:dyDescent="0.25">
      <c r="A658" s="33" t="s">
        <v>132</v>
      </c>
      <c r="B658" t="s">
        <v>8</v>
      </c>
      <c r="C658">
        <v>10</v>
      </c>
      <c r="D658" s="34" t="s">
        <v>721</v>
      </c>
      <c r="E658" s="35" t="s">
        <v>728</v>
      </c>
    </row>
    <row r="659" spans="1:5" x14ac:dyDescent="0.25">
      <c r="A659" s="33" t="s">
        <v>132</v>
      </c>
      <c r="B659" t="s">
        <v>72</v>
      </c>
      <c r="C659">
        <v>5000</v>
      </c>
      <c r="D659" s="34" t="s">
        <v>721</v>
      </c>
      <c r="E659" s="35" t="s">
        <v>728</v>
      </c>
    </row>
    <row r="660" spans="1:5" x14ac:dyDescent="0.25">
      <c r="A660" s="33" t="s">
        <v>132</v>
      </c>
      <c r="B660" t="s">
        <v>85</v>
      </c>
      <c r="C660">
        <v>5</v>
      </c>
      <c r="D660" s="34" t="s">
        <v>721</v>
      </c>
      <c r="E660" s="35" t="s">
        <v>728</v>
      </c>
    </row>
    <row r="661" spans="1:5" x14ac:dyDescent="0.25">
      <c r="A661" s="33" t="s">
        <v>132</v>
      </c>
      <c r="B661" t="s">
        <v>69</v>
      </c>
      <c r="C661">
        <v>-2040</v>
      </c>
      <c r="D661" s="34" t="s">
        <v>721</v>
      </c>
      <c r="E661" s="35" t="s">
        <v>728</v>
      </c>
    </row>
    <row r="662" spans="1:5" x14ac:dyDescent="0.25">
      <c r="A662" s="33" t="s">
        <v>132</v>
      </c>
      <c r="B662" t="s">
        <v>13</v>
      </c>
      <c r="C662">
        <v>666.39</v>
      </c>
      <c r="D662" s="34" t="s">
        <v>721</v>
      </c>
      <c r="E662" s="35" t="s">
        <v>728</v>
      </c>
    </row>
    <row r="663" spans="1:5" x14ac:dyDescent="0.25">
      <c r="A663" s="33" t="s">
        <v>132</v>
      </c>
      <c r="B663" t="s">
        <v>72</v>
      </c>
      <c r="C663">
        <v>2000</v>
      </c>
      <c r="D663" s="34" t="s">
        <v>721</v>
      </c>
      <c r="E663" s="35" t="s">
        <v>728</v>
      </c>
    </row>
    <row r="664" spans="1:5" x14ac:dyDescent="0.25">
      <c r="A664" s="33" t="s">
        <v>729</v>
      </c>
      <c r="B664" t="s">
        <v>12</v>
      </c>
      <c r="C664">
        <v>2500</v>
      </c>
      <c r="D664" s="34" t="s">
        <v>721</v>
      </c>
      <c r="E664" s="35" t="s">
        <v>730</v>
      </c>
    </row>
    <row r="665" spans="1:5" x14ac:dyDescent="0.25">
      <c r="A665" s="33" t="s">
        <v>729</v>
      </c>
      <c r="B665" t="s">
        <v>36</v>
      </c>
      <c r="C665">
        <v>1000</v>
      </c>
      <c r="D665" s="34" t="s">
        <v>721</v>
      </c>
      <c r="E665" s="35" t="s">
        <v>730</v>
      </c>
    </row>
    <row r="666" spans="1:5" x14ac:dyDescent="0.25">
      <c r="A666" s="33" t="s">
        <v>729</v>
      </c>
      <c r="B666" t="s">
        <v>87</v>
      </c>
      <c r="C666">
        <v>5000</v>
      </c>
      <c r="D666" s="34" t="s">
        <v>721</v>
      </c>
      <c r="E666" s="35" t="s">
        <v>730</v>
      </c>
    </row>
    <row r="667" spans="1:5" x14ac:dyDescent="0.25">
      <c r="A667" s="33" t="s">
        <v>729</v>
      </c>
      <c r="B667" t="s">
        <v>91</v>
      </c>
      <c r="C667">
        <v>250</v>
      </c>
      <c r="D667" s="34" t="s">
        <v>721</v>
      </c>
      <c r="E667" s="35" t="s">
        <v>730</v>
      </c>
    </row>
    <row r="668" spans="1:5" x14ac:dyDescent="0.25">
      <c r="A668" s="33" t="s">
        <v>729</v>
      </c>
      <c r="B668" t="s">
        <v>59</v>
      </c>
      <c r="C668">
        <v>-2000</v>
      </c>
      <c r="D668" s="34" t="s">
        <v>721</v>
      </c>
      <c r="E668" s="35" t="s">
        <v>730</v>
      </c>
    </row>
    <row r="669" spans="1:5" x14ac:dyDescent="0.25">
      <c r="A669" s="33" t="s">
        <v>729</v>
      </c>
      <c r="B669" t="s">
        <v>72</v>
      </c>
      <c r="C669">
        <v>2000</v>
      </c>
      <c r="D669" s="34" t="s">
        <v>721</v>
      </c>
      <c r="E669" s="35" t="s">
        <v>730</v>
      </c>
    </row>
    <row r="670" spans="1:5" x14ac:dyDescent="0.25">
      <c r="A670" s="33" t="s">
        <v>729</v>
      </c>
      <c r="B670" t="s">
        <v>13</v>
      </c>
      <c r="C670">
        <v>7.94</v>
      </c>
      <c r="D670" s="34" t="s">
        <v>721</v>
      </c>
      <c r="E670" s="35" t="s">
        <v>730</v>
      </c>
    </row>
    <row r="671" spans="1:5" x14ac:dyDescent="0.25">
      <c r="A671" s="33" t="s">
        <v>135</v>
      </c>
      <c r="B671" t="s">
        <v>59</v>
      </c>
      <c r="C671">
        <v>-1000</v>
      </c>
      <c r="D671" s="34" t="s">
        <v>721</v>
      </c>
      <c r="E671" s="35" t="s">
        <v>723</v>
      </c>
    </row>
    <row r="672" spans="1:5" x14ac:dyDescent="0.25">
      <c r="A672" s="33" t="s">
        <v>135</v>
      </c>
      <c r="B672" t="s">
        <v>72</v>
      </c>
      <c r="C672">
        <v>-1700</v>
      </c>
      <c r="D672" s="34" t="s">
        <v>721</v>
      </c>
      <c r="E672" s="35" t="s">
        <v>723</v>
      </c>
    </row>
    <row r="673" spans="1:5" x14ac:dyDescent="0.25">
      <c r="A673" s="33" t="s">
        <v>135</v>
      </c>
      <c r="B673" t="s">
        <v>40</v>
      </c>
      <c r="C673">
        <v>-30000</v>
      </c>
      <c r="D673" s="34" t="s">
        <v>721</v>
      </c>
      <c r="E673" s="35" t="s">
        <v>723</v>
      </c>
    </row>
    <row r="674" spans="1:5" x14ac:dyDescent="0.25">
      <c r="A674" s="33" t="s">
        <v>135</v>
      </c>
      <c r="B674" t="s">
        <v>40</v>
      </c>
      <c r="C674">
        <v>-4000</v>
      </c>
      <c r="D674" s="34" t="s">
        <v>721</v>
      </c>
      <c r="E674" s="35" t="s">
        <v>723</v>
      </c>
    </row>
    <row r="675" spans="1:5" x14ac:dyDescent="0.25">
      <c r="A675" s="33" t="s">
        <v>135</v>
      </c>
      <c r="B675" t="s">
        <v>59</v>
      </c>
      <c r="C675">
        <v>-4500</v>
      </c>
      <c r="D675" s="34" t="s">
        <v>721</v>
      </c>
      <c r="E675" s="35" t="s">
        <v>723</v>
      </c>
    </row>
    <row r="676" spans="1:5" x14ac:dyDescent="0.25">
      <c r="A676" s="33" t="s">
        <v>135</v>
      </c>
      <c r="B676" t="s">
        <v>78</v>
      </c>
      <c r="C676">
        <v>2673.17</v>
      </c>
      <c r="D676" s="34" t="s">
        <v>721</v>
      </c>
      <c r="E676" s="35" t="s">
        <v>723</v>
      </c>
    </row>
    <row r="677" spans="1:5" x14ac:dyDescent="0.25">
      <c r="A677" s="33" t="s">
        <v>135</v>
      </c>
      <c r="B677" t="s">
        <v>50</v>
      </c>
      <c r="C677">
        <v>100</v>
      </c>
      <c r="D677" s="34" t="s">
        <v>721</v>
      </c>
      <c r="E677" s="35" t="s">
        <v>723</v>
      </c>
    </row>
    <row r="678" spans="1:5" x14ac:dyDescent="0.25">
      <c r="A678" s="33" t="s">
        <v>135</v>
      </c>
      <c r="B678" t="s">
        <v>72</v>
      </c>
      <c r="C678">
        <v>-2273.17</v>
      </c>
      <c r="D678" s="34" t="s">
        <v>721</v>
      </c>
      <c r="E678" s="35" t="s">
        <v>723</v>
      </c>
    </row>
    <row r="679" spans="1:5" x14ac:dyDescent="0.25">
      <c r="A679" s="33" t="s">
        <v>135</v>
      </c>
      <c r="B679" t="s">
        <v>40</v>
      </c>
      <c r="C679">
        <v>-4000</v>
      </c>
      <c r="D679" s="34" t="s">
        <v>721</v>
      </c>
      <c r="E679" s="35" t="s">
        <v>723</v>
      </c>
    </row>
    <row r="680" spans="1:5" x14ac:dyDescent="0.25">
      <c r="A680" s="33" t="s">
        <v>135</v>
      </c>
      <c r="B680" t="s">
        <v>59</v>
      </c>
      <c r="C680">
        <v>-3000</v>
      </c>
      <c r="D680" s="34" t="s">
        <v>721</v>
      </c>
      <c r="E680" s="35" t="s">
        <v>723</v>
      </c>
    </row>
    <row r="681" spans="1:5" x14ac:dyDescent="0.25">
      <c r="A681" s="33" t="s">
        <v>135</v>
      </c>
      <c r="B681" t="s">
        <v>40</v>
      </c>
      <c r="C681">
        <v>-4000</v>
      </c>
      <c r="D681" s="34" t="s">
        <v>721</v>
      </c>
      <c r="E681" s="35" t="s">
        <v>723</v>
      </c>
    </row>
    <row r="682" spans="1:5" x14ac:dyDescent="0.25">
      <c r="A682" s="33" t="s">
        <v>135</v>
      </c>
      <c r="B682" t="s">
        <v>59</v>
      </c>
      <c r="C682">
        <v>-500</v>
      </c>
      <c r="D682" s="34" t="s">
        <v>721</v>
      </c>
      <c r="E682" s="35" t="s">
        <v>723</v>
      </c>
    </row>
    <row r="683" spans="1:5" x14ac:dyDescent="0.25">
      <c r="A683" s="33" t="s">
        <v>135</v>
      </c>
      <c r="B683" t="s">
        <v>59</v>
      </c>
      <c r="C683">
        <v>-4000</v>
      </c>
      <c r="D683" s="34" t="s">
        <v>721</v>
      </c>
      <c r="E683" s="35" t="s">
        <v>723</v>
      </c>
    </row>
    <row r="684" spans="1:5" x14ac:dyDescent="0.25">
      <c r="A684" s="33" t="s">
        <v>135</v>
      </c>
      <c r="B684" t="s">
        <v>78</v>
      </c>
      <c r="C684">
        <v>2673.17</v>
      </c>
      <c r="D684" s="34" t="s">
        <v>721</v>
      </c>
      <c r="E684" s="35" t="s">
        <v>723</v>
      </c>
    </row>
    <row r="685" spans="1:5" x14ac:dyDescent="0.25">
      <c r="A685" s="33" t="s">
        <v>135</v>
      </c>
      <c r="B685" t="s">
        <v>59</v>
      </c>
      <c r="C685">
        <v>-1000</v>
      </c>
      <c r="D685" s="34" t="s">
        <v>721</v>
      </c>
      <c r="E685" s="35" t="s">
        <v>723</v>
      </c>
    </row>
    <row r="686" spans="1:5" x14ac:dyDescent="0.25">
      <c r="A686" s="33" t="s">
        <v>135</v>
      </c>
      <c r="B686" t="s">
        <v>72</v>
      </c>
      <c r="C686">
        <v>-470</v>
      </c>
      <c r="D686" s="34" t="s">
        <v>721</v>
      </c>
      <c r="E686" s="35" t="s">
        <v>723</v>
      </c>
    </row>
    <row r="687" spans="1:5" x14ac:dyDescent="0.25">
      <c r="A687" s="33" t="s">
        <v>135</v>
      </c>
      <c r="B687" t="s">
        <v>72</v>
      </c>
      <c r="C687">
        <v>-203.17</v>
      </c>
      <c r="D687" s="34" t="s">
        <v>721</v>
      </c>
      <c r="E687" s="35" t="s">
        <v>723</v>
      </c>
    </row>
    <row r="688" spans="1:5" x14ac:dyDescent="0.25">
      <c r="A688" s="33" t="s">
        <v>135</v>
      </c>
      <c r="B688" t="s">
        <v>48</v>
      </c>
      <c r="C688">
        <v>5000</v>
      </c>
      <c r="D688" s="34" t="s">
        <v>721</v>
      </c>
      <c r="E688" s="35" t="s">
        <v>723</v>
      </c>
    </row>
    <row r="689" spans="1:5" x14ac:dyDescent="0.25">
      <c r="A689" s="33" t="s">
        <v>135</v>
      </c>
      <c r="B689" t="s">
        <v>59</v>
      </c>
      <c r="C689">
        <v>-3500</v>
      </c>
      <c r="D689" s="34" t="s">
        <v>721</v>
      </c>
      <c r="E689" s="35" t="s">
        <v>723</v>
      </c>
    </row>
    <row r="690" spans="1:5" x14ac:dyDescent="0.25">
      <c r="A690" s="33" t="s">
        <v>135</v>
      </c>
      <c r="B690" t="s">
        <v>40</v>
      </c>
      <c r="C690">
        <v>-6000</v>
      </c>
      <c r="D690" s="34" t="s">
        <v>721</v>
      </c>
      <c r="E690" s="35" t="s">
        <v>723</v>
      </c>
    </row>
    <row r="691" spans="1:5" x14ac:dyDescent="0.25">
      <c r="A691" s="33" t="s">
        <v>135</v>
      </c>
      <c r="B691" t="s">
        <v>72</v>
      </c>
      <c r="C691">
        <v>-500</v>
      </c>
      <c r="D691" s="34" t="s">
        <v>721</v>
      </c>
      <c r="E691" s="35" t="s">
        <v>723</v>
      </c>
    </row>
    <row r="692" spans="1:5" x14ac:dyDescent="0.25">
      <c r="A692" s="33" t="s">
        <v>135</v>
      </c>
      <c r="B692" t="s">
        <v>40</v>
      </c>
      <c r="C692">
        <v>-4000</v>
      </c>
      <c r="D692" s="34" t="s">
        <v>721</v>
      </c>
      <c r="E692" s="35" t="s">
        <v>723</v>
      </c>
    </row>
    <row r="693" spans="1:5" x14ac:dyDescent="0.25">
      <c r="A693" s="33" t="s">
        <v>135</v>
      </c>
      <c r="B693" t="s">
        <v>72</v>
      </c>
      <c r="C693">
        <v>-2500</v>
      </c>
      <c r="D693" s="34" t="s">
        <v>721</v>
      </c>
      <c r="E693" s="35" t="s">
        <v>723</v>
      </c>
    </row>
    <row r="694" spans="1:5" x14ac:dyDescent="0.25">
      <c r="A694" s="33" t="s">
        <v>135</v>
      </c>
      <c r="B694" t="s">
        <v>40</v>
      </c>
      <c r="C694">
        <v>11500</v>
      </c>
      <c r="D694" s="34" t="s">
        <v>721</v>
      </c>
      <c r="E694" s="35" t="s">
        <v>723</v>
      </c>
    </row>
    <row r="695" spans="1:5" x14ac:dyDescent="0.25">
      <c r="A695" s="33" t="s">
        <v>135</v>
      </c>
      <c r="B695" t="s">
        <v>40</v>
      </c>
      <c r="C695">
        <v>10000</v>
      </c>
      <c r="D695" s="34" t="s">
        <v>721</v>
      </c>
      <c r="E695" s="35" t="s">
        <v>723</v>
      </c>
    </row>
    <row r="696" spans="1:5" x14ac:dyDescent="0.25">
      <c r="A696" s="33" t="s">
        <v>135</v>
      </c>
      <c r="B696" t="s">
        <v>40</v>
      </c>
      <c r="C696">
        <v>-4000</v>
      </c>
      <c r="D696" s="34" t="s">
        <v>721</v>
      </c>
      <c r="E696" s="35" t="s">
        <v>723</v>
      </c>
    </row>
    <row r="697" spans="1:5" x14ac:dyDescent="0.25">
      <c r="A697" s="33" t="s">
        <v>135</v>
      </c>
      <c r="B697" t="s">
        <v>72</v>
      </c>
      <c r="C697">
        <v>-2000</v>
      </c>
      <c r="D697" s="34" t="s">
        <v>721</v>
      </c>
      <c r="E697" s="35" t="s">
        <v>723</v>
      </c>
    </row>
    <row r="698" spans="1:5" x14ac:dyDescent="0.25">
      <c r="A698" s="33" t="s">
        <v>135</v>
      </c>
      <c r="B698" t="s">
        <v>87</v>
      </c>
      <c r="C698">
        <v>6000</v>
      </c>
      <c r="D698" s="34" t="s">
        <v>721</v>
      </c>
      <c r="E698" s="35" t="s">
        <v>723</v>
      </c>
    </row>
    <row r="699" spans="1:5" x14ac:dyDescent="0.25">
      <c r="A699" s="33" t="s">
        <v>135</v>
      </c>
      <c r="B699" t="s">
        <v>59</v>
      </c>
      <c r="C699">
        <v>-2000</v>
      </c>
      <c r="D699" s="34" t="s">
        <v>721</v>
      </c>
      <c r="E699" s="35" t="s">
        <v>723</v>
      </c>
    </row>
    <row r="700" spans="1:5" x14ac:dyDescent="0.25">
      <c r="A700" s="33" t="s">
        <v>135</v>
      </c>
      <c r="B700" t="s">
        <v>92</v>
      </c>
      <c r="C700">
        <v>2000</v>
      </c>
      <c r="D700" s="34" t="s">
        <v>721</v>
      </c>
      <c r="E700" s="35" t="s">
        <v>723</v>
      </c>
    </row>
    <row r="701" spans="1:5" x14ac:dyDescent="0.25">
      <c r="A701" s="33" t="s">
        <v>135</v>
      </c>
      <c r="B701" t="s">
        <v>78</v>
      </c>
      <c r="C701">
        <v>2673.17</v>
      </c>
      <c r="D701" s="34" t="s">
        <v>721</v>
      </c>
      <c r="E701" s="35" t="s">
        <v>723</v>
      </c>
    </row>
    <row r="702" spans="1:5" x14ac:dyDescent="0.25">
      <c r="A702" s="33" t="s">
        <v>135</v>
      </c>
      <c r="B702" t="s">
        <v>72</v>
      </c>
      <c r="C702">
        <v>-173.17</v>
      </c>
      <c r="D702" s="34" t="s">
        <v>721</v>
      </c>
      <c r="E702" s="35" t="s">
        <v>723</v>
      </c>
    </row>
    <row r="703" spans="1:5" x14ac:dyDescent="0.25">
      <c r="A703" s="33" t="s">
        <v>135</v>
      </c>
      <c r="B703" t="s">
        <v>40</v>
      </c>
      <c r="C703">
        <v>-4000</v>
      </c>
      <c r="D703" s="34" t="s">
        <v>721</v>
      </c>
      <c r="E703" s="35" t="s">
        <v>723</v>
      </c>
    </row>
    <row r="704" spans="1:5" x14ac:dyDescent="0.25">
      <c r="A704" s="33" t="s">
        <v>135</v>
      </c>
      <c r="B704" t="s">
        <v>72</v>
      </c>
      <c r="C704">
        <v>-3000</v>
      </c>
      <c r="D704" s="34" t="s">
        <v>721</v>
      </c>
      <c r="E704" s="35" t="s">
        <v>723</v>
      </c>
    </row>
    <row r="705" spans="1:5" x14ac:dyDescent="0.25">
      <c r="A705" s="33" t="s">
        <v>135</v>
      </c>
      <c r="B705" t="s">
        <v>40</v>
      </c>
      <c r="C705">
        <v>-5000</v>
      </c>
      <c r="D705" s="34" t="s">
        <v>721</v>
      </c>
      <c r="E705" s="35" t="s">
        <v>723</v>
      </c>
    </row>
    <row r="706" spans="1:5" x14ac:dyDescent="0.25">
      <c r="A706" s="33" t="s">
        <v>135</v>
      </c>
      <c r="B706" t="s">
        <v>57</v>
      </c>
      <c r="C706">
        <v>1000</v>
      </c>
      <c r="D706" s="34" t="s">
        <v>721</v>
      </c>
      <c r="E706" s="35" t="s">
        <v>723</v>
      </c>
    </row>
    <row r="707" spans="1:5" x14ac:dyDescent="0.25">
      <c r="A707" s="33" t="s">
        <v>135</v>
      </c>
      <c r="B707" t="s">
        <v>49</v>
      </c>
      <c r="C707">
        <v>600</v>
      </c>
      <c r="D707" s="34" t="s">
        <v>721</v>
      </c>
      <c r="E707" s="35" t="s">
        <v>723</v>
      </c>
    </row>
    <row r="708" spans="1:5" x14ac:dyDescent="0.25">
      <c r="A708" s="33" t="s">
        <v>135</v>
      </c>
      <c r="B708" t="s">
        <v>33</v>
      </c>
      <c r="C708">
        <v>400</v>
      </c>
      <c r="D708" s="34" t="s">
        <v>721</v>
      </c>
      <c r="E708" s="35" t="s">
        <v>723</v>
      </c>
    </row>
    <row r="709" spans="1:5" x14ac:dyDescent="0.25">
      <c r="A709" s="33" t="s">
        <v>135</v>
      </c>
      <c r="B709" t="s">
        <v>87</v>
      </c>
      <c r="C709">
        <v>2000</v>
      </c>
      <c r="D709" s="34" t="s">
        <v>721</v>
      </c>
      <c r="E709" s="35" t="s">
        <v>723</v>
      </c>
    </row>
    <row r="710" spans="1:5" x14ac:dyDescent="0.25">
      <c r="A710" s="33" t="s">
        <v>135</v>
      </c>
      <c r="B710" t="s">
        <v>40</v>
      </c>
      <c r="C710">
        <v>10000</v>
      </c>
      <c r="D710" s="34" t="s">
        <v>721</v>
      </c>
      <c r="E710" s="35" t="s">
        <v>723</v>
      </c>
    </row>
    <row r="711" spans="1:5" x14ac:dyDescent="0.25">
      <c r="A711" s="33" t="s">
        <v>135</v>
      </c>
      <c r="B711" t="s">
        <v>87</v>
      </c>
      <c r="C711">
        <v>3500</v>
      </c>
      <c r="D711" s="34" t="s">
        <v>721</v>
      </c>
      <c r="E711" s="35" t="s">
        <v>723</v>
      </c>
    </row>
    <row r="712" spans="1:5" x14ac:dyDescent="0.25">
      <c r="A712" s="33" t="s">
        <v>135</v>
      </c>
      <c r="B712" t="s">
        <v>40</v>
      </c>
      <c r="C712">
        <v>-2000</v>
      </c>
      <c r="D712" s="34" t="s">
        <v>721</v>
      </c>
      <c r="E712" s="35" t="s">
        <v>723</v>
      </c>
    </row>
    <row r="713" spans="1:5" x14ac:dyDescent="0.25">
      <c r="A713" s="33" t="s">
        <v>135</v>
      </c>
      <c r="B713" t="s">
        <v>84</v>
      </c>
      <c r="C713">
        <v>2000</v>
      </c>
      <c r="D713" s="34" t="s">
        <v>721</v>
      </c>
      <c r="E713" s="35" t="s">
        <v>723</v>
      </c>
    </row>
    <row r="714" spans="1:5" x14ac:dyDescent="0.25">
      <c r="A714" s="33" t="s">
        <v>135</v>
      </c>
      <c r="B714" t="s">
        <v>87</v>
      </c>
      <c r="C714">
        <v>3000</v>
      </c>
      <c r="D714" s="34" t="s">
        <v>721</v>
      </c>
      <c r="E714" s="35" t="s">
        <v>723</v>
      </c>
    </row>
    <row r="715" spans="1:5" x14ac:dyDescent="0.25">
      <c r="A715" s="33" t="s">
        <v>135</v>
      </c>
      <c r="B715" t="s">
        <v>59</v>
      </c>
      <c r="C715">
        <v>-5000</v>
      </c>
      <c r="D715" s="34" t="s">
        <v>721</v>
      </c>
      <c r="E715" s="35" t="s">
        <v>723</v>
      </c>
    </row>
    <row r="716" spans="1:5" x14ac:dyDescent="0.25">
      <c r="A716" s="33" t="s">
        <v>135</v>
      </c>
      <c r="B716" t="s">
        <v>59</v>
      </c>
      <c r="C716">
        <v>-5000</v>
      </c>
      <c r="D716" s="34" t="s">
        <v>721</v>
      </c>
      <c r="E716" s="35" t="s">
        <v>723</v>
      </c>
    </row>
    <row r="717" spans="1:5" x14ac:dyDescent="0.25">
      <c r="A717" s="33" t="s">
        <v>135</v>
      </c>
      <c r="B717" t="s">
        <v>59</v>
      </c>
      <c r="C717">
        <v>-1000</v>
      </c>
      <c r="D717" s="34" t="s">
        <v>721</v>
      </c>
      <c r="E717" s="35" t="s">
        <v>723</v>
      </c>
    </row>
    <row r="718" spans="1:5" x14ac:dyDescent="0.25">
      <c r="A718" s="33" t="s">
        <v>135</v>
      </c>
      <c r="B718" t="s">
        <v>40</v>
      </c>
      <c r="C718">
        <v>-4000</v>
      </c>
      <c r="D718" s="34" t="s">
        <v>721</v>
      </c>
      <c r="E718" s="35" t="s">
        <v>723</v>
      </c>
    </row>
    <row r="719" spans="1:5" x14ac:dyDescent="0.25">
      <c r="A719" s="33" t="s">
        <v>135</v>
      </c>
      <c r="B719" t="s">
        <v>9</v>
      </c>
      <c r="C719">
        <v>9200</v>
      </c>
      <c r="D719" s="34" t="s">
        <v>721</v>
      </c>
      <c r="E719" s="35" t="s">
        <v>723</v>
      </c>
    </row>
    <row r="720" spans="1:5" x14ac:dyDescent="0.25">
      <c r="A720" s="33" t="s">
        <v>135</v>
      </c>
      <c r="B720" t="s">
        <v>59</v>
      </c>
      <c r="C720">
        <v>-2000</v>
      </c>
      <c r="D720" s="34" t="s">
        <v>721</v>
      </c>
      <c r="E720" s="35" t="s">
        <v>723</v>
      </c>
    </row>
    <row r="721" spans="1:5" x14ac:dyDescent="0.25">
      <c r="A721" s="33" t="s">
        <v>135</v>
      </c>
      <c r="B721" t="s">
        <v>78</v>
      </c>
      <c r="C721">
        <v>2000</v>
      </c>
      <c r="D721" s="34" t="s">
        <v>721</v>
      </c>
      <c r="E721" s="35" t="s">
        <v>723</v>
      </c>
    </row>
    <row r="722" spans="1:5" x14ac:dyDescent="0.25">
      <c r="A722" s="33" t="s">
        <v>135</v>
      </c>
      <c r="B722" t="s">
        <v>40</v>
      </c>
      <c r="C722">
        <v>-4000</v>
      </c>
      <c r="D722" s="34" t="s">
        <v>721</v>
      </c>
      <c r="E722" s="35" t="s">
        <v>723</v>
      </c>
    </row>
    <row r="723" spans="1:5" x14ac:dyDescent="0.25">
      <c r="A723" s="33" t="s">
        <v>135</v>
      </c>
      <c r="B723" t="s">
        <v>40</v>
      </c>
      <c r="C723">
        <v>-4000</v>
      </c>
      <c r="D723" s="34" t="s">
        <v>721</v>
      </c>
      <c r="E723" s="35" t="s">
        <v>723</v>
      </c>
    </row>
    <row r="724" spans="1:5" x14ac:dyDescent="0.25">
      <c r="A724" s="33" t="s">
        <v>135</v>
      </c>
      <c r="B724" t="s">
        <v>40</v>
      </c>
      <c r="C724">
        <v>10000</v>
      </c>
      <c r="D724" s="34" t="s">
        <v>721</v>
      </c>
      <c r="E724" s="35" t="s">
        <v>723</v>
      </c>
    </row>
    <row r="725" spans="1:5" x14ac:dyDescent="0.25">
      <c r="A725" s="33" t="s">
        <v>135</v>
      </c>
      <c r="B725" t="s">
        <v>40</v>
      </c>
      <c r="C725">
        <v>-4000</v>
      </c>
      <c r="D725" s="34" t="s">
        <v>721</v>
      </c>
      <c r="E725" s="35" t="s">
        <v>723</v>
      </c>
    </row>
    <row r="726" spans="1:5" x14ac:dyDescent="0.25">
      <c r="A726" s="33" t="s">
        <v>135</v>
      </c>
      <c r="B726" t="s">
        <v>72</v>
      </c>
      <c r="C726">
        <v>-3000</v>
      </c>
      <c r="D726" s="34" t="s">
        <v>721</v>
      </c>
      <c r="E726" s="35" t="s">
        <v>723</v>
      </c>
    </row>
    <row r="727" spans="1:5" x14ac:dyDescent="0.25">
      <c r="A727" s="33" t="s">
        <v>135</v>
      </c>
      <c r="B727" t="s">
        <v>59</v>
      </c>
      <c r="C727">
        <v>-2000</v>
      </c>
      <c r="D727" s="34" t="s">
        <v>721</v>
      </c>
      <c r="E727" s="35" t="s">
        <v>723</v>
      </c>
    </row>
    <row r="728" spans="1:5" x14ac:dyDescent="0.25">
      <c r="A728" s="33" t="s">
        <v>135</v>
      </c>
      <c r="B728" t="s">
        <v>78</v>
      </c>
      <c r="C728">
        <v>2000</v>
      </c>
      <c r="D728" s="34" t="s">
        <v>721</v>
      </c>
      <c r="E728" s="35" t="s">
        <v>723</v>
      </c>
    </row>
    <row r="729" spans="1:5" x14ac:dyDescent="0.25">
      <c r="A729" s="33" t="s">
        <v>135</v>
      </c>
      <c r="B729" t="s">
        <v>72</v>
      </c>
      <c r="C729">
        <v>-4500</v>
      </c>
      <c r="D729" s="34" t="s">
        <v>721</v>
      </c>
      <c r="E729" s="35" t="s">
        <v>723</v>
      </c>
    </row>
    <row r="730" spans="1:5" x14ac:dyDescent="0.25">
      <c r="A730" s="33" t="s">
        <v>135</v>
      </c>
      <c r="B730" t="s">
        <v>72</v>
      </c>
      <c r="C730">
        <v>-3000</v>
      </c>
      <c r="D730" s="34" t="s">
        <v>721</v>
      </c>
      <c r="E730" s="35" t="s">
        <v>723</v>
      </c>
    </row>
    <row r="731" spans="1:5" x14ac:dyDescent="0.25">
      <c r="A731" s="33" t="s">
        <v>135</v>
      </c>
      <c r="B731" t="s">
        <v>40</v>
      </c>
      <c r="C731">
        <v>-1300</v>
      </c>
      <c r="D731" s="34" t="s">
        <v>721</v>
      </c>
      <c r="E731" s="35" t="s">
        <v>723</v>
      </c>
    </row>
    <row r="732" spans="1:5" x14ac:dyDescent="0.25">
      <c r="A732" s="33" t="s">
        <v>135</v>
      </c>
      <c r="B732" t="s">
        <v>87</v>
      </c>
      <c r="C732">
        <v>500</v>
      </c>
      <c r="D732" s="34" t="s">
        <v>721</v>
      </c>
      <c r="E732" s="35" t="s">
        <v>723</v>
      </c>
    </row>
    <row r="733" spans="1:5" x14ac:dyDescent="0.25">
      <c r="A733" s="33" t="s">
        <v>135</v>
      </c>
      <c r="B733" t="s">
        <v>59</v>
      </c>
      <c r="C733">
        <v>-4500</v>
      </c>
      <c r="D733" s="34" t="s">
        <v>721</v>
      </c>
      <c r="E733" s="35" t="s">
        <v>723</v>
      </c>
    </row>
    <row r="734" spans="1:5" x14ac:dyDescent="0.25">
      <c r="A734" s="33" t="s">
        <v>135</v>
      </c>
      <c r="B734" t="s">
        <v>40</v>
      </c>
      <c r="C734">
        <v>-4000</v>
      </c>
      <c r="D734" s="34" t="s">
        <v>721</v>
      </c>
      <c r="E734" s="35" t="s">
        <v>723</v>
      </c>
    </row>
    <row r="735" spans="1:5" x14ac:dyDescent="0.25">
      <c r="A735" s="33" t="s">
        <v>135</v>
      </c>
      <c r="B735" t="s">
        <v>72</v>
      </c>
      <c r="C735">
        <v>-2000</v>
      </c>
      <c r="D735" s="34" t="s">
        <v>721</v>
      </c>
      <c r="E735" s="35" t="s">
        <v>723</v>
      </c>
    </row>
    <row r="736" spans="1:5" x14ac:dyDescent="0.25">
      <c r="A736" s="33" t="s">
        <v>135</v>
      </c>
      <c r="B736" t="s">
        <v>72</v>
      </c>
      <c r="C736">
        <v>-3000</v>
      </c>
      <c r="D736" s="34" t="s">
        <v>721</v>
      </c>
      <c r="E736" s="35" t="s">
        <v>723</v>
      </c>
    </row>
    <row r="737" spans="1:5" x14ac:dyDescent="0.25">
      <c r="A737" s="33" t="s">
        <v>135</v>
      </c>
      <c r="B737" t="s">
        <v>50</v>
      </c>
      <c r="C737">
        <v>100</v>
      </c>
      <c r="D737" s="34" t="s">
        <v>721</v>
      </c>
      <c r="E737" s="35" t="s">
        <v>723</v>
      </c>
    </row>
    <row r="738" spans="1:5" x14ac:dyDescent="0.25">
      <c r="A738" s="33" t="s">
        <v>135</v>
      </c>
      <c r="B738" t="s">
        <v>72</v>
      </c>
      <c r="C738">
        <v>-3500</v>
      </c>
      <c r="D738" s="34" t="s">
        <v>721</v>
      </c>
      <c r="E738" s="35" t="s">
        <v>723</v>
      </c>
    </row>
    <row r="739" spans="1:5" x14ac:dyDescent="0.25">
      <c r="A739" s="33" t="s">
        <v>135</v>
      </c>
      <c r="B739" t="s">
        <v>72</v>
      </c>
      <c r="C739">
        <v>-500</v>
      </c>
      <c r="D739" s="34" t="s">
        <v>721</v>
      </c>
      <c r="E739" s="35" t="s">
        <v>723</v>
      </c>
    </row>
    <row r="740" spans="1:5" x14ac:dyDescent="0.25">
      <c r="A740" s="33" t="s">
        <v>135</v>
      </c>
      <c r="B740" t="s">
        <v>87</v>
      </c>
      <c r="C740">
        <v>15000</v>
      </c>
      <c r="D740" s="34" t="s">
        <v>721</v>
      </c>
      <c r="E740" s="35" t="s">
        <v>723</v>
      </c>
    </row>
    <row r="741" spans="1:5" x14ac:dyDescent="0.25">
      <c r="A741" s="33" t="s">
        <v>135</v>
      </c>
      <c r="B741" t="s">
        <v>40</v>
      </c>
      <c r="C741">
        <v>-4000</v>
      </c>
      <c r="D741" s="34" t="s">
        <v>721</v>
      </c>
      <c r="E741" s="35" t="s">
        <v>723</v>
      </c>
    </row>
    <row r="742" spans="1:5" x14ac:dyDescent="0.25">
      <c r="A742" s="33" t="s">
        <v>135</v>
      </c>
      <c r="B742" t="s">
        <v>59</v>
      </c>
      <c r="C742">
        <v>-2000</v>
      </c>
      <c r="D742" s="34" t="s">
        <v>721</v>
      </c>
      <c r="E742" s="35" t="s">
        <v>723</v>
      </c>
    </row>
    <row r="743" spans="1:5" x14ac:dyDescent="0.25">
      <c r="A743" s="33" t="s">
        <v>135</v>
      </c>
      <c r="B743" t="s">
        <v>78</v>
      </c>
      <c r="C743">
        <v>2000</v>
      </c>
      <c r="D743" s="34" t="s">
        <v>721</v>
      </c>
      <c r="E743" s="35" t="s">
        <v>723</v>
      </c>
    </row>
    <row r="744" spans="1:5" x14ac:dyDescent="0.25">
      <c r="A744" s="33" t="s">
        <v>135</v>
      </c>
      <c r="B744" t="s">
        <v>40</v>
      </c>
      <c r="C744">
        <v>-4000</v>
      </c>
      <c r="D744" s="34" t="s">
        <v>721</v>
      </c>
      <c r="E744" s="35" t="s">
        <v>723</v>
      </c>
    </row>
    <row r="745" spans="1:5" x14ac:dyDescent="0.25">
      <c r="A745" s="33" t="s">
        <v>135</v>
      </c>
      <c r="B745" t="s">
        <v>72</v>
      </c>
      <c r="C745">
        <v>-1000</v>
      </c>
      <c r="D745" s="34" t="s">
        <v>721</v>
      </c>
      <c r="E745" s="35" t="s">
        <v>723</v>
      </c>
    </row>
    <row r="746" spans="1:5" x14ac:dyDescent="0.25">
      <c r="A746" s="33" t="s">
        <v>135</v>
      </c>
      <c r="B746" t="s">
        <v>72</v>
      </c>
      <c r="C746">
        <v>-10000</v>
      </c>
      <c r="D746" s="34" t="s">
        <v>721</v>
      </c>
      <c r="E746" s="35" t="s">
        <v>723</v>
      </c>
    </row>
    <row r="747" spans="1:5" x14ac:dyDescent="0.25">
      <c r="A747" s="33" t="s">
        <v>135</v>
      </c>
      <c r="B747" t="s">
        <v>72</v>
      </c>
      <c r="C747">
        <v>-2000</v>
      </c>
      <c r="D747" s="34" t="s">
        <v>721</v>
      </c>
      <c r="E747" s="35" t="s">
        <v>723</v>
      </c>
    </row>
    <row r="748" spans="1:5" x14ac:dyDescent="0.25">
      <c r="A748" s="33" t="s">
        <v>135</v>
      </c>
      <c r="B748" t="s">
        <v>72</v>
      </c>
      <c r="C748">
        <v>-1500</v>
      </c>
      <c r="D748" s="34" t="s">
        <v>721</v>
      </c>
      <c r="E748" s="35" t="s">
        <v>723</v>
      </c>
    </row>
    <row r="749" spans="1:5" x14ac:dyDescent="0.25">
      <c r="A749" s="33" t="s">
        <v>135</v>
      </c>
      <c r="B749" t="s">
        <v>59</v>
      </c>
      <c r="C749">
        <v>-2500</v>
      </c>
      <c r="D749" s="34" t="s">
        <v>721</v>
      </c>
      <c r="E749" s="35" t="s">
        <v>723</v>
      </c>
    </row>
    <row r="750" spans="1:5" x14ac:dyDescent="0.25">
      <c r="A750" s="33" t="s">
        <v>135</v>
      </c>
      <c r="B750" t="s">
        <v>40</v>
      </c>
      <c r="C750">
        <v>-4000</v>
      </c>
      <c r="D750" s="34" t="s">
        <v>721</v>
      </c>
      <c r="E750" s="35" t="s">
        <v>723</v>
      </c>
    </row>
    <row r="751" spans="1:5" x14ac:dyDescent="0.25">
      <c r="A751" s="33" t="s">
        <v>135</v>
      </c>
      <c r="B751" t="s">
        <v>72</v>
      </c>
      <c r="C751">
        <v>-2000</v>
      </c>
      <c r="D751" s="34" t="s">
        <v>721</v>
      </c>
      <c r="E751" s="35" t="s">
        <v>723</v>
      </c>
    </row>
    <row r="752" spans="1:5" x14ac:dyDescent="0.25">
      <c r="A752" s="33" t="s">
        <v>135</v>
      </c>
      <c r="B752" t="s">
        <v>40</v>
      </c>
      <c r="C752">
        <v>-2600</v>
      </c>
      <c r="D752" s="34" t="s">
        <v>721</v>
      </c>
      <c r="E752" s="35" t="s">
        <v>723</v>
      </c>
    </row>
    <row r="753" spans="1:5" x14ac:dyDescent="0.25">
      <c r="A753" s="33" t="s">
        <v>135</v>
      </c>
      <c r="B753" t="s">
        <v>40</v>
      </c>
      <c r="C753">
        <v>-4000</v>
      </c>
      <c r="D753" s="34" t="s">
        <v>721</v>
      </c>
      <c r="E753" s="35" t="s">
        <v>723</v>
      </c>
    </row>
    <row r="754" spans="1:5" x14ac:dyDescent="0.25">
      <c r="A754" s="33" t="s">
        <v>135</v>
      </c>
      <c r="B754" t="s">
        <v>72</v>
      </c>
      <c r="C754">
        <v>-6000</v>
      </c>
      <c r="D754" s="34" t="s">
        <v>721</v>
      </c>
      <c r="E754" s="35" t="s">
        <v>723</v>
      </c>
    </row>
    <row r="755" spans="1:5" x14ac:dyDescent="0.25">
      <c r="A755" s="33" t="s">
        <v>135</v>
      </c>
      <c r="B755" t="s">
        <v>72</v>
      </c>
      <c r="C755">
        <v>-1400</v>
      </c>
      <c r="D755" s="34" t="s">
        <v>721</v>
      </c>
      <c r="E755" s="35" t="s">
        <v>723</v>
      </c>
    </row>
    <row r="756" spans="1:5" x14ac:dyDescent="0.25">
      <c r="A756" s="33" t="s">
        <v>135</v>
      </c>
      <c r="B756" t="s">
        <v>72</v>
      </c>
      <c r="C756">
        <v>-2000</v>
      </c>
      <c r="D756" s="34" t="s">
        <v>721</v>
      </c>
      <c r="E756" s="35" t="s">
        <v>723</v>
      </c>
    </row>
    <row r="757" spans="1:5" x14ac:dyDescent="0.25">
      <c r="A757" s="33" t="s">
        <v>135</v>
      </c>
      <c r="B757" t="s">
        <v>40</v>
      </c>
      <c r="C757">
        <v>-4000</v>
      </c>
      <c r="D757" s="34" t="s">
        <v>721</v>
      </c>
      <c r="E757" s="35" t="s">
        <v>723</v>
      </c>
    </row>
    <row r="758" spans="1:5" x14ac:dyDescent="0.25">
      <c r="A758" s="33" t="s">
        <v>135</v>
      </c>
      <c r="B758" t="s">
        <v>40</v>
      </c>
      <c r="C758">
        <v>-1300</v>
      </c>
      <c r="D758" s="34" t="s">
        <v>721</v>
      </c>
      <c r="E758" s="35" t="s">
        <v>723</v>
      </c>
    </row>
    <row r="759" spans="1:5" x14ac:dyDescent="0.25">
      <c r="A759" s="33" t="s">
        <v>135</v>
      </c>
      <c r="B759" t="s">
        <v>40</v>
      </c>
      <c r="C759">
        <v>10000</v>
      </c>
      <c r="D759" s="34" t="s">
        <v>721</v>
      </c>
      <c r="E759" s="35" t="s">
        <v>723</v>
      </c>
    </row>
    <row r="760" spans="1:5" x14ac:dyDescent="0.25">
      <c r="A760" s="33" t="s">
        <v>135</v>
      </c>
      <c r="B760" t="s">
        <v>87</v>
      </c>
      <c r="C760">
        <v>20000</v>
      </c>
      <c r="D760" s="34" t="s">
        <v>721</v>
      </c>
      <c r="E760" s="35" t="s">
        <v>723</v>
      </c>
    </row>
    <row r="761" spans="1:5" x14ac:dyDescent="0.25">
      <c r="A761" s="33" t="s">
        <v>135</v>
      </c>
      <c r="B761" t="s">
        <v>59</v>
      </c>
      <c r="C761">
        <v>-2000</v>
      </c>
      <c r="D761" s="34" t="s">
        <v>721</v>
      </c>
      <c r="E761" s="35" t="s">
        <v>723</v>
      </c>
    </row>
    <row r="762" spans="1:5" x14ac:dyDescent="0.25">
      <c r="A762" s="33" t="s">
        <v>135</v>
      </c>
      <c r="B762" t="s">
        <v>72</v>
      </c>
      <c r="C762">
        <v>-1000</v>
      </c>
      <c r="D762" s="34" t="s">
        <v>721</v>
      </c>
      <c r="E762" s="35" t="s">
        <v>723</v>
      </c>
    </row>
    <row r="763" spans="1:5" x14ac:dyDescent="0.25">
      <c r="A763" s="33" t="s">
        <v>135</v>
      </c>
      <c r="B763" t="s">
        <v>40</v>
      </c>
      <c r="C763">
        <v>-4000</v>
      </c>
      <c r="D763" s="34" t="s">
        <v>721</v>
      </c>
      <c r="E763" s="35" t="s">
        <v>723</v>
      </c>
    </row>
    <row r="764" spans="1:5" x14ac:dyDescent="0.25">
      <c r="A764" s="33" t="s">
        <v>135</v>
      </c>
      <c r="B764" t="s">
        <v>59</v>
      </c>
      <c r="C764">
        <v>-5000</v>
      </c>
      <c r="D764" s="34" t="s">
        <v>721</v>
      </c>
      <c r="E764" s="35" t="s">
        <v>723</v>
      </c>
    </row>
    <row r="765" spans="1:5" x14ac:dyDescent="0.25">
      <c r="A765" s="33" t="s">
        <v>135</v>
      </c>
      <c r="B765" t="s">
        <v>59</v>
      </c>
      <c r="C765">
        <v>-1000</v>
      </c>
      <c r="D765" s="34" t="s">
        <v>721</v>
      </c>
      <c r="E765" s="35" t="s">
        <v>723</v>
      </c>
    </row>
    <row r="766" spans="1:5" x14ac:dyDescent="0.25">
      <c r="A766" s="33" t="s">
        <v>135</v>
      </c>
      <c r="B766" t="s">
        <v>40</v>
      </c>
      <c r="C766">
        <v>-4000</v>
      </c>
      <c r="D766" s="34" t="s">
        <v>721</v>
      </c>
      <c r="E766" s="35" t="s">
        <v>723</v>
      </c>
    </row>
    <row r="767" spans="1:5" x14ac:dyDescent="0.25">
      <c r="A767" s="33" t="s">
        <v>135</v>
      </c>
      <c r="B767" t="s">
        <v>59</v>
      </c>
      <c r="C767">
        <v>-3000</v>
      </c>
      <c r="D767" s="34" t="s">
        <v>721</v>
      </c>
      <c r="E767" s="35" t="s">
        <v>723</v>
      </c>
    </row>
    <row r="768" spans="1:5" x14ac:dyDescent="0.25">
      <c r="A768" s="33" t="s">
        <v>135</v>
      </c>
      <c r="B768" t="s">
        <v>87</v>
      </c>
      <c r="C768">
        <v>6000</v>
      </c>
      <c r="D768" s="34" t="s">
        <v>721</v>
      </c>
      <c r="E768" s="35" t="s">
        <v>723</v>
      </c>
    </row>
    <row r="769" spans="1:5" x14ac:dyDescent="0.25">
      <c r="A769" s="33" t="s">
        <v>135</v>
      </c>
      <c r="B769" t="s">
        <v>87</v>
      </c>
      <c r="C769">
        <v>5000</v>
      </c>
      <c r="D769" s="34" t="s">
        <v>721</v>
      </c>
      <c r="E769" s="35" t="s">
        <v>723</v>
      </c>
    </row>
    <row r="770" spans="1:5" x14ac:dyDescent="0.25">
      <c r="A770" s="33" t="s">
        <v>135</v>
      </c>
      <c r="B770" t="s">
        <v>87</v>
      </c>
      <c r="C770">
        <v>3000</v>
      </c>
      <c r="D770" s="34" t="s">
        <v>721</v>
      </c>
      <c r="E770" s="35" t="s">
        <v>723</v>
      </c>
    </row>
    <row r="771" spans="1:5" x14ac:dyDescent="0.25">
      <c r="A771" s="33" t="s">
        <v>135</v>
      </c>
      <c r="B771" t="s">
        <v>72</v>
      </c>
      <c r="C771">
        <v>-1000</v>
      </c>
      <c r="D771" s="34" t="s">
        <v>721</v>
      </c>
      <c r="E771" s="35" t="s">
        <v>723</v>
      </c>
    </row>
    <row r="772" spans="1:5" x14ac:dyDescent="0.25">
      <c r="A772" s="33" t="s">
        <v>135</v>
      </c>
      <c r="B772" t="s">
        <v>40</v>
      </c>
      <c r="C772">
        <v>-4000</v>
      </c>
      <c r="D772" s="34" t="s">
        <v>721</v>
      </c>
      <c r="E772" s="35" t="s">
        <v>723</v>
      </c>
    </row>
    <row r="773" spans="1:5" x14ac:dyDescent="0.25">
      <c r="A773" s="33" t="s">
        <v>135</v>
      </c>
      <c r="B773" t="s">
        <v>29</v>
      </c>
      <c r="C773">
        <v>41000</v>
      </c>
      <c r="D773" s="34" t="s">
        <v>721</v>
      </c>
      <c r="E773" s="35" t="s">
        <v>723</v>
      </c>
    </row>
    <row r="774" spans="1:5" x14ac:dyDescent="0.25">
      <c r="A774" s="33" t="s">
        <v>135</v>
      </c>
      <c r="B774" t="s">
        <v>59</v>
      </c>
      <c r="C774">
        <v>-5500</v>
      </c>
      <c r="D774" s="34" t="s">
        <v>721</v>
      </c>
      <c r="E774" s="35" t="s">
        <v>723</v>
      </c>
    </row>
    <row r="775" spans="1:5" x14ac:dyDescent="0.25">
      <c r="A775" s="33" t="s">
        <v>135</v>
      </c>
      <c r="B775" t="s">
        <v>59</v>
      </c>
      <c r="C775">
        <v>-1200</v>
      </c>
      <c r="D775" s="34" t="s">
        <v>721</v>
      </c>
      <c r="E775" s="35" t="s">
        <v>723</v>
      </c>
    </row>
    <row r="776" spans="1:5" x14ac:dyDescent="0.25">
      <c r="A776" s="33" t="s">
        <v>135</v>
      </c>
      <c r="B776" t="s">
        <v>40</v>
      </c>
      <c r="C776">
        <v>-1300</v>
      </c>
      <c r="D776" s="34" t="s">
        <v>721</v>
      </c>
      <c r="E776" s="35" t="s">
        <v>723</v>
      </c>
    </row>
    <row r="777" spans="1:5" x14ac:dyDescent="0.25">
      <c r="A777" s="33" t="s">
        <v>135</v>
      </c>
      <c r="B777" t="s">
        <v>40</v>
      </c>
      <c r="C777">
        <v>-4000</v>
      </c>
      <c r="D777" s="34" t="s">
        <v>721</v>
      </c>
      <c r="E777" s="35" t="s">
        <v>723</v>
      </c>
    </row>
    <row r="778" spans="1:5" x14ac:dyDescent="0.25">
      <c r="A778" s="33" t="s">
        <v>135</v>
      </c>
      <c r="B778" t="s">
        <v>59</v>
      </c>
      <c r="C778">
        <v>-6000</v>
      </c>
      <c r="D778" s="34" t="s">
        <v>721</v>
      </c>
      <c r="E778" s="35" t="s">
        <v>723</v>
      </c>
    </row>
    <row r="779" spans="1:5" x14ac:dyDescent="0.25">
      <c r="A779" s="33" t="s">
        <v>135</v>
      </c>
      <c r="B779" t="s">
        <v>59</v>
      </c>
      <c r="C779">
        <v>-500</v>
      </c>
      <c r="D779" s="34" t="s">
        <v>721</v>
      </c>
      <c r="E779" s="35" t="s">
        <v>723</v>
      </c>
    </row>
    <row r="780" spans="1:5" x14ac:dyDescent="0.25">
      <c r="A780" s="33" t="s">
        <v>135</v>
      </c>
      <c r="B780" t="s">
        <v>87</v>
      </c>
      <c r="C780">
        <v>2500</v>
      </c>
      <c r="D780" s="34" t="s">
        <v>721</v>
      </c>
      <c r="E780" s="35" t="s">
        <v>723</v>
      </c>
    </row>
    <row r="781" spans="1:5" x14ac:dyDescent="0.25">
      <c r="A781" s="33" t="s">
        <v>135</v>
      </c>
      <c r="B781" t="s">
        <v>59</v>
      </c>
      <c r="C781">
        <v>-2500</v>
      </c>
      <c r="D781" s="34" t="s">
        <v>721</v>
      </c>
      <c r="E781" s="35" t="s">
        <v>723</v>
      </c>
    </row>
    <row r="782" spans="1:5" x14ac:dyDescent="0.25">
      <c r="A782" s="33" t="s">
        <v>135</v>
      </c>
      <c r="B782" t="s">
        <v>59</v>
      </c>
      <c r="C782">
        <v>-1000</v>
      </c>
      <c r="D782" s="34" t="s">
        <v>721</v>
      </c>
      <c r="E782" s="35" t="s">
        <v>723</v>
      </c>
    </row>
    <row r="783" spans="1:5" x14ac:dyDescent="0.25">
      <c r="A783" s="33" t="s">
        <v>135</v>
      </c>
      <c r="B783" t="s">
        <v>40</v>
      </c>
      <c r="C783">
        <v>-4000</v>
      </c>
      <c r="D783" s="34" t="s">
        <v>721</v>
      </c>
      <c r="E783" s="35" t="s">
        <v>723</v>
      </c>
    </row>
    <row r="784" spans="1:5" x14ac:dyDescent="0.25">
      <c r="A784" s="33" t="s">
        <v>135</v>
      </c>
      <c r="B784" t="s">
        <v>40</v>
      </c>
      <c r="C784">
        <v>-4000</v>
      </c>
      <c r="D784" s="34" t="s">
        <v>721</v>
      </c>
      <c r="E784" s="35" t="s">
        <v>723</v>
      </c>
    </row>
    <row r="785" spans="1:5" x14ac:dyDescent="0.25">
      <c r="A785" s="33" t="s">
        <v>135</v>
      </c>
      <c r="B785" t="s">
        <v>59</v>
      </c>
      <c r="C785">
        <v>-5000</v>
      </c>
      <c r="D785" s="34" t="s">
        <v>721</v>
      </c>
      <c r="E785" s="35" t="s">
        <v>723</v>
      </c>
    </row>
    <row r="786" spans="1:5" x14ac:dyDescent="0.25">
      <c r="A786" s="33" t="s">
        <v>135</v>
      </c>
      <c r="B786" t="s">
        <v>72</v>
      </c>
      <c r="C786">
        <v>-1000</v>
      </c>
      <c r="D786" s="34" t="s">
        <v>721</v>
      </c>
      <c r="E786" s="35" t="s">
        <v>723</v>
      </c>
    </row>
    <row r="787" spans="1:5" x14ac:dyDescent="0.25">
      <c r="A787" s="33" t="s">
        <v>135</v>
      </c>
      <c r="B787" t="s">
        <v>72</v>
      </c>
      <c r="C787">
        <v>-8000</v>
      </c>
      <c r="D787" s="34" t="s">
        <v>721</v>
      </c>
      <c r="E787" s="35" t="s">
        <v>723</v>
      </c>
    </row>
    <row r="788" spans="1:5" x14ac:dyDescent="0.25">
      <c r="A788" s="33" t="s">
        <v>135</v>
      </c>
      <c r="B788" t="s">
        <v>40</v>
      </c>
      <c r="C788">
        <v>-1300</v>
      </c>
      <c r="D788" s="34" t="s">
        <v>721</v>
      </c>
      <c r="E788" s="35" t="s">
        <v>723</v>
      </c>
    </row>
    <row r="789" spans="1:5" x14ac:dyDescent="0.25">
      <c r="A789" s="33" t="s">
        <v>135</v>
      </c>
      <c r="B789" t="s">
        <v>40</v>
      </c>
      <c r="C789">
        <v>-4000</v>
      </c>
      <c r="D789" s="34" t="s">
        <v>721</v>
      </c>
      <c r="E789" s="35" t="s">
        <v>723</v>
      </c>
    </row>
    <row r="790" spans="1:5" x14ac:dyDescent="0.25">
      <c r="A790" s="33" t="s">
        <v>135</v>
      </c>
      <c r="B790" t="s">
        <v>40</v>
      </c>
      <c r="C790">
        <v>10000</v>
      </c>
      <c r="D790" s="34" t="s">
        <v>721</v>
      </c>
      <c r="E790" s="35" t="s">
        <v>723</v>
      </c>
    </row>
    <row r="791" spans="1:5" x14ac:dyDescent="0.25">
      <c r="A791" s="33" t="s">
        <v>135</v>
      </c>
      <c r="B791" t="s">
        <v>59</v>
      </c>
      <c r="C791">
        <v>1000</v>
      </c>
      <c r="D791" s="34" t="s">
        <v>721</v>
      </c>
      <c r="E791" s="35" t="s">
        <v>723</v>
      </c>
    </row>
    <row r="792" spans="1:5" x14ac:dyDescent="0.25">
      <c r="A792" s="33" t="s">
        <v>135</v>
      </c>
      <c r="B792" t="s">
        <v>40</v>
      </c>
      <c r="C792">
        <v>-4000</v>
      </c>
      <c r="D792" s="34" t="s">
        <v>721</v>
      </c>
      <c r="E792" s="35" t="s">
        <v>723</v>
      </c>
    </row>
    <row r="793" spans="1:5" x14ac:dyDescent="0.25">
      <c r="A793" s="33" t="s">
        <v>135</v>
      </c>
      <c r="B793" t="s">
        <v>87</v>
      </c>
      <c r="C793">
        <v>5000</v>
      </c>
      <c r="D793" s="34" t="s">
        <v>721</v>
      </c>
      <c r="E793" s="35" t="s">
        <v>723</v>
      </c>
    </row>
    <row r="794" spans="1:5" x14ac:dyDescent="0.25">
      <c r="A794" s="33" t="s">
        <v>135</v>
      </c>
      <c r="B794" t="s">
        <v>87</v>
      </c>
      <c r="C794">
        <v>2800</v>
      </c>
      <c r="D794" s="34" t="s">
        <v>721</v>
      </c>
      <c r="E794" s="35" t="s">
        <v>723</v>
      </c>
    </row>
    <row r="795" spans="1:5" x14ac:dyDescent="0.25">
      <c r="A795" s="33" t="s">
        <v>140</v>
      </c>
      <c r="B795" t="s">
        <v>23</v>
      </c>
      <c r="C795">
        <v>815</v>
      </c>
      <c r="D795" s="34" t="s">
        <v>721</v>
      </c>
      <c r="E795" s="35" t="s">
        <v>732</v>
      </c>
    </row>
    <row r="796" spans="1:5" x14ac:dyDescent="0.25">
      <c r="A796" s="33" t="s">
        <v>140</v>
      </c>
      <c r="B796" t="s">
        <v>33</v>
      </c>
      <c r="C796">
        <v>1000</v>
      </c>
      <c r="D796" s="34" t="s">
        <v>721</v>
      </c>
      <c r="E796" s="35" t="s">
        <v>732</v>
      </c>
    </row>
    <row r="797" spans="1:5" x14ac:dyDescent="0.25">
      <c r="A797" s="33" t="s">
        <v>140</v>
      </c>
      <c r="B797" t="s">
        <v>36</v>
      </c>
      <c r="C797">
        <v>1500</v>
      </c>
      <c r="D797" s="34" t="s">
        <v>721</v>
      </c>
      <c r="E797" s="35" t="s">
        <v>732</v>
      </c>
    </row>
    <row r="798" spans="1:5" x14ac:dyDescent="0.25">
      <c r="A798" s="33" t="s">
        <v>140</v>
      </c>
      <c r="B798" t="s">
        <v>59</v>
      </c>
      <c r="C798">
        <v>1000</v>
      </c>
      <c r="D798" s="34" t="s">
        <v>721</v>
      </c>
      <c r="E798" s="35" t="s">
        <v>732</v>
      </c>
    </row>
    <row r="799" spans="1:5" x14ac:dyDescent="0.25">
      <c r="A799" s="33" t="s">
        <v>140</v>
      </c>
      <c r="B799" t="s">
        <v>63</v>
      </c>
      <c r="C799">
        <v>4000</v>
      </c>
      <c r="D799" s="34" t="s">
        <v>721</v>
      </c>
      <c r="E799" s="35" t="s">
        <v>732</v>
      </c>
    </row>
    <row r="800" spans="1:5" x14ac:dyDescent="0.25">
      <c r="A800" s="33" t="s">
        <v>140</v>
      </c>
      <c r="B800" t="s">
        <v>36</v>
      </c>
      <c r="C800">
        <v>500</v>
      </c>
      <c r="D800" s="34" t="s">
        <v>721</v>
      </c>
      <c r="E800" s="35" t="s">
        <v>732</v>
      </c>
    </row>
    <row r="801" spans="1:5" x14ac:dyDescent="0.25">
      <c r="A801" s="33" t="s">
        <v>140</v>
      </c>
      <c r="B801" t="s">
        <v>36</v>
      </c>
      <c r="C801">
        <v>500</v>
      </c>
      <c r="D801" s="34" t="s">
        <v>721</v>
      </c>
      <c r="E801" s="35" t="s">
        <v>732</v>
      </c>
    </row>
    <row r="802" spans="1:5" x14ac:dyDescent="0.25">
      <c r="A802" s="33" t="s">
        <v>140</v>
      </c>
      <c r="B802" t="s">
        <v>85</v>
      </c>
      <c r="C802">
        <v>10</v>
      </c>
      <c r="D802" s="34" t="s">
        <v>721</v>
      </c>
      <c r="E802" s="35" t="s">
        <v>732</v>
      </c>
    </row>
    <row r="803" spans="1:5" x14ac:dyDescent="0.25">
      <c r="A803" s="33" t="s">
        <v>733</v>
      </c>
      <c r="B803" t="s">
        <v>13</v>
      </c>
      <c r="C803">
        <v>-141.35</v>
      </c>
      <c r="D803" s="34">
        <v>26</v>
      </c>
      <c r="E803" s="35" t="s">
        <v>734</v>
      </c>
    </row>
    <row r="804" spans="1:5" x14ac:dyDescent="0.25">
      <c r="A804" s="33" t="s">
        <v>733</v>
      </c>
      <c r="B804" t="s">
        <v>40</v>
      </c>
      <c r="C804">
        <v>4000</v>
      </c>
      <c r="D804" s="34">
        <v>26</v>
      </c>
      <c r="E804" s="35" t="s">
        <v>734</v>
      </c>
    </row>
    <row r="805" spans="1:5" x14ac:dyDescent="0.25">
      <c r="A805" s="33" t="s">
        <v>733</v>
      </c>
      <c r="B805" t="s">
        <v>8</v>
      </c>
      <c r="C805">
        <v>3454.3</v>
      </c>
      <c r="D805" s="34">
        <v>26</v>
      </c>
      <c r="E805" s="35" t="s">
        <v>734</v>
      </c>
    </row>
    <row r="806" spans="1:5" x14ac:dyDescent="0.25">
      <c r="A806" s="33" t="s">
        <v>733</v>
      </c>
      <c r="B806" t="s">
        <v>88</v>
      </c>
      <c r="C806">
        <v>450</v>
      </c>
      <c r="D806" s="34">
        <v>26</v>
      </c>
      <c r="E806" s="35" t="s">
        <v>734</v>
      </c>
    </row>
    <row r="807" spans="1:5" x14ac:dyDescent="0.25">
      <c r="A807" s="33" t="s">
        <v>733</v>
      </c>
      <c r="B807" t="s">
        <v>11</v>
      </c>
      <c r="C807">
        <v>700</v>
      </c>
      <c r="D807" s="34">
        <v>26</v>
      </c>
      <c r="E807" s="35" t="s">
        <v>734</v>
      </c>
    </row>
    <row r="808" spans="1:5" x14ac:dyDescent="0.25">
      <c r="A808" s="33" t="s">
        <v>733</v>
      </c>
      <c r="B808" t="s">
        <v>59</v>
      </c>
      <c r="C808">
        <v>1350</v>
      </c>
      <c r="D808" s="34">
        <v>26</v>
      </c>
      <c r="E808" s="35" t="s">
        <v>734</v>
      </c>
    </row>
    <row r="809" spans="1:5" x14ac:dyDescent="0.25">
      <c r="A809" s="33" t="s">
        <v>733</v>
      </c>
      <c r="B809" t="s">
        <v>59</v>
      </c>
      <c r="C809">
        <v>300</v>
      </c>
      <c r="D809" s="34">
        <v>26</v>
      </c>
      <c r="E809" s="35" t="s">
        <v>734</v>
      </c>
    </row>
    <row r="810" spans="1:5" x14ac:dyDescent="0.25">
      <c r="A810" s="33" t="s">
        <v>733</v>
      </c>
      <c r="B810" t="s">
        <v>17</v>
      </c>
      <c r="C810">
        <v>180</v>
      </c>
      <c r="D810" s="34">
        <v>26</v>
      </c>
      <c r="E810" s="35" t="s">
        <v>734</v>
      </c>
    </row>
    <row r="811" spans="1:5" x14ac:dyDescent="0.25">
      <c r="A811" s="33" t="s">
        <v>733</v>
      </c>
      <c r="B811" t="s">
        <v>31</v>
      </c>
      <c r="C811">
        <v>296</v>
      </c>
      <c r="D811" s="34">
        <v>26</v>
      </c>
      <c r="E811" s="35" t="s">
        <v>734</v>
      </c>
    </row>
    <row r="812" spans="1:5" x14ac:dyDescent="0.25">
      <c r="A812" s="33" t="s">
        <v>733</v>
      </c>
      <c r="B812" t="s">
        <v>85</v>
      </c>
      <c r="C812">
        <v>10</v>
      </c>
      <c r="D812" s="34">
        <v>26</v>
      </c>
      <c r="E812" s="35" t="s">
        <v>734</v>
      </c>
    </row>
    <row r="813" spans="1:5" x14ac:dyDescent="0.25">
      <c r="A813" s="33" t="s">
        <v>733</v>
      </c>
      <c r="B813" t="s">
        <v>3</v>
      </c>
      <c r="C813">
        <v>235</v>
      </c>
      <c r="D813" s="34">
        <v>26</v>
      </c>
      <c r="E813" s="35" t="s">
        <v>734</v>
      </c>
    </row>
    <row r="814" spans="1:5" x14ac:dyDescent="0.25">
      <c r="A814" s="33" t="s">
        <v>733</v>
      </c>
      <c r="B814" t="s">
        <v>76</v>
      </c>
      <c r="C814">
        <v>232.44</v>
      </c>
      <c r="D814" s="34">
        <v>26</v>
      </c>
      <c r="E814" s="35" t="s">
        <v>734</v>
      </c>
    </row>
    <row r="815" spans="1:5" x14ac:dyDescent="0.25">
      <c r="A815" s="33" t="s">
        <v>733</v>
      </c>
      <c r="B815" t="s">
        <v>11</v>
      </c>
      <c r="C815">
        <v>500</v>
      </c>
      <c r="D815" s="34">
        <v>26</v>
      </c>
      <c r="E815" s="35" t="s">
        <v>734</v>
      </c>
    </row>
    <row r="816" spans="1:5" x14ac:dyDescent="0.25">
      <c r="A816" s="33" t="s">
        <v>733</v>
      </c>
      <c r="B816" t="s">
        <v>15</v>
      </c>
      <c r="C816">
        <v>800</v>
      </c>
      <c r="D816" s="34">
        <v>26</v>
      </c>
      <c r="E816" s="35" t="s">
        <v>734</v>
      </c>
    </row>
    <row r="817" spans="1:5" x14ac:dyDescent="0.25">
      <c r="A817" s="33" t="s">
        <v>731</v>
      </c>
      <c r="B817" t="s">
        <v>13</v>
      </c>
      <c r="C817">
        <v>-447.45000000000402</v>
      </c>
      <c r="D817" s="34">
        <v>26</v>
      </c>
      <c r="E817" s="35" t="s">
        <v>686</v>
      </c>
    </row>
    <row r="818" spans="1:5" x14ac:dyDescent="0.25">
      <c r="A818" s="33" t="s">
        <v>731</v>
      </c>
      <c r="B818" t="s">
        <v>40</v>
      </c>
      <c r="C818">
        <v>4000</v>
      </c>
      <c r="D818" s="34">
        <v>26</v>
      </c>
      <c r="E818" s="35" t="s">
        <v>686</v>
      </c>
    </row>
    <row r="819" spans="1:5" x14ac:dyDescent="0.25">
      <c r="A819" s="33" t="s">
        <v>731</v>
      </c>
      <c r="B819" t="s">
        <v>36</v>
      </c>
      <c r="C819">
        <v>500</v>
      </c>
      <c r="D819" s="34">
        <v>26</v>
      </c>
      <c r="E819" s="35" t="s">
        <v>686</v>
      </c>
    </row>
    <row r="820" spans="1:5" x14ac:dyDescent="0.25">
      <c r="A820" s="33" t="s">
        <v>731</v>
      </c>
      <c r="B820" t="s">
        <v>8</v>
      </c>
      <c r="C820">
        <v>2038.58</v>
      </c>
      <c r="D820" s="34">
        <v>26</v>
      </c>
      <c r="E820" s="35" t="s">
        <v>686</v>
      </c>
    </row>
    <row r="821" spans="1:5" x14ac:dyDescent="0.25">
      <c r="A821" s="33" t="s">
        <v>731</v>
      </c>
      <c r="B821" t="s">
        <v>10</v>
      </c>
      <c r="C821">
        <v>1182.5</v>
      </c>
      <c r="D821" s="34">
        <v>26</v>
      </c>
      <c r="E821" s="35" t="s">
        <v>686</v>
      </c>
    </row>
    <row r="822" spans="1:5" x14ac:dyDescent="0.25">
      <c r="A822" s="33" t="s">
        <v>731</v>
      </c>
      <c r="B822" t="s">
        <v>59</v>
      </c>
      <c r="C822">
        <v>500</v>
      </c>
      <c r="D822" s="34">
        <v>26</v>
      </c>
      <c r="E822" s="35" t="s">
        <v>686</v>
      </c>
    </row>
    <row r="823" spans="1:5" x14ac:dyDescent="0.25">
      <c r="A823" s="33" t="s">
        <v>731</v>
      </c>
      <c r="B823" t="s">
        <v>59</v>
      </c>
      <c r="C823">
        <v>300</v>
      </c>
      <c r="D823" s="34">
        <v>26</v>
      </c>
      <c r="E823" s="35" t="s">
        <v>686</v>
      </c>
    </row>
    <row r="824" spans="1:5" x14ac:dyDescent="0.25">
      <c r="A824" s="33" t="s">
        <v>731</v>
      </c>
      <c r="B824" t="s">
        <v>28</v>
      </c>
      <c r="C824">
        <v>1000</v>
      </c>
      <c r="D824" s="34">
        <v>26</v>
      </c>
      <c r="E824" s="35" t="s">
        <v>686</v>
      </c>
    </row>
    <row r="825" spans="1:5" x14ac:dyDescent="0.25">
      <c r="A825" s="33" t="s">
        <v>731</v>
      </c>
      <c r="B825" t="s">
        <v>17</v>
      </c>
      <c r="C825">
        <v>325</v>
      </c>
      <c r="D825" s="34">
        <v>26</v>
      </c>
      <c r="E825" s="35" t="s">
        <v>686</v>
      </c>
    </row>
    <row r="826" spans="1:5" x14ac:dyDescent="0.25">
      <c r="A826" s="33" t="s">
        <v>731</v>
      </c>
      <c r="B826" t="s">
        <v>85</v>
      </c>
      <c r="C826">
        <v>10</v>
      </c>
      <c r="D826" s="34">
        <v>26</v>
      </c>
      <c r="E826" s="35" t="s">
        <v>686</v>
      </c>
    </row>
    <row r="827" spans="1:5" x14ac:dyDescent="0.25">
      <c r="A827" s="33" t="s">
        <v>731</v>
      </c>
      <c r="B827" t="s">
        <v>11</v>
      </c>
      <c r="C827">
        <v>1000</v>
      </c>
      <c r="D827" s="34">
        <v>26</v>
      </c>
      <c r="E827" s="35" t="s">
        <v>686</v>
      </c>
    </row>
    <row r="828" spans="1:5" x14ac:dyDescent="0.25">
      <c r="A828" s="33" t="s">
        <v>731</v>
      </c>
      <c r="B828" t="s">
        <v>11</v>
      </c>
      <c r="C828">
        <v>1000</v>
      </c>
      <c r="D828" s="34">
        <v>26</v>
      </c>
      <c r="E828" s="35" t="s">
        <v>686</v>
      </c>
    </row>
    <row r="829" spans="1:5" x14ac:dyDescent="0.25">
      <c r="A829" s="33" t="s">
        <v>731</v>
      </c>
      <c r="B829" t="s">
        <v>31</v>
      </c>
      <c r="C829">
        <v>199</v>
      </c>
      <c r="D829" s="34">
        <v>26</v>
      </c>
      <c r="E829" s="35" t="s">
        <v>686</v>
      </c>
    </row>
    <row r="830" spans="1:5" x14ac:dyDescent="0.25">
      <c r="A830" s="33" t="s">
        <v>731</v>
      </c>
      <c r="B830" t="s">
        <v>31</v>
      </c>
      <c r="C830">
        <v>182</v>
      </c>
      <c r="D830" s="34">
        <v>26</v>
      </c>
      <c r="E830" s="35" t="s">
        <v>686</v>
      </c>
    </row>
    <row r="831" spans="1:5" x14ac:dyDescent="0.25">
      <c r="A831" s="33" t="s">
        <v>731</v>
      </c>
      <c r="B831" t="s">
        <v>13</v>
      </c>
      <c r="C831">
        <v>141.35</v>
      </c>
      <c r="D831" s="34">
        <v>26</v>
      </c>
      <c r="E831" s="35" t="s">
        <v>686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F6AC57-0E97-4018-89A8-8A21A8DF7F3E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eaa689b4-8f87-40e0-9c6f-7228de4d754a}" enabled="0" method="" siteId="{eaa689b4-8f87-40e0-9c6f-7228de4d754a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Dropdown Expenses</vt:lpstr>
      <vt:lpstr>Graph</vt:lpstr>
      <vt:lpstr>Maya</vt:lpstr>
      <vt:lpstr>Total Amount</vt:lpstr>
      <vt:lpstr>Maya Expenses 2</vt:lpstr>
      <vt:lpstr>02-27-25</vt:lpstr>
      <vt:lpstr>03-13-25</vt:lpstr>
      <vt:lpstr>04-10-25</vt:lpstr>
      <vt:lpstr>04-24-25</vt:lpstr>
      <vt:lpstr>05-08-25</vt:lpstr>
      <vt:lpstr>05-22-25</vt:lpstr>
      <vt:lpstr>06-05-25</vt:lpstr>
      <vt:lpstr>06-19-25</vt:lpstr>
      <vt:lpstr>07-03-25</vt:lpstr>
      <vt:lpstr>07-17-25</vt:lpstr>
      <vt:lpstr>07-31-25</vt:lpstr>
      <vt:lpstr>ESPP Expenses 2</vt:lpstr>
      <vt:lpstr>08-14-25</vt:lpstr>
      <vt:lpstr>08-28-25</vt:lpstr>
      <vt:lpstr>09-11-25</vt:lpstr>
      <vt:lpstr>13thFY25</vt:lpstr>
      <vt:lpstr>09-25-25</vt:lpstr>
      <vt:lpstr>10-09-25</vt:lpstr>
      <vt:lpstr>10-23-25</vt:lpstr>
      <vt:lpstr>Corp34Q25</vt:lpstr>
      <vt:lpstr>11-06-25</vt:lpstr>
      <vt:lpstr>11-20-25</vt:lpstr>
      <vt:lpstr>12-04-25</vt:lpstr>
      <vt:lpstr>12-18-25</vt:lpstr>
      <vt:lpstr>01-01-26</vt:lpstr>
      <vt:lpstr>01-15-26</vt:lpstr>
      <vt:lpstr>01-29-26</vt:lpstr>
      <vt:lpstr>02-12-26</vt:lpstr>
      <vt:lpstr>02-26-26</vt:lpstr>
      <vt:lpstr>13.5 Month 2026</vt:lpstr>
      <vt:lpstr>03-12-26</vt:lpstr>
      <vt:lpstr>03-26-26</vt:lpstr>
      <vt:lpstr>04-09-26</vt:lpstr>
      <vt:lpstr>04-23-26</vt:lpstr>
      <vt:lpstr>Corp12Q26</vt:lpstr>
      <vt:lpstr>05-07-26</vt:lpstr>
      <vt:lpstr>05-21-26</vt:lpstr>
      <vt:lpstr>06-04-26</vt:lpstr>
      <vt:lpstr>06-18-26</vt:lpstr>
      <vt:lpstr>ESPP1</vt:lpstr>
      <vt:lpstr>13.5 Month Pay</vt:lpstr>
      <vt:lpstr>CorpBonus-6-05-25</vt:lpstr>
      <vt:lpstr>ExpenseTableData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Avenido, Angelo</dc:creator>
  <cp:keywords/>
  <dc:description/>
  <cp:lastModifiedBy>Avenido, Angelo</cp:lastModifiedBy>
  <cp:revision/>
  <dcterms:created xsi:type="dcterms:W3CDTF">2025-02-27T00:34:42Z</dcterms:created>
  <dcterms:modified xsi:type="dcterms:W3CDTF">2026-06-27T09:51:37Z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M_Height">
    <vt:i4>285</vt:i4>
  </property>
  <property fmtid="{D5CDD505-2E9C-101B-9397-08002B2CF9AE}" pid="3" name="SM_Width">
    <vt:i4>250</vt:i4>
  </property>
  <property fmtid="{D5CDD505-2E9C-101B-9397-08002B2CF9AE}" pid="4" name="SM_ScrollTop">
    <vt:i4>724</vt:i4>
  </property>
</Properties>
</file>